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9.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6.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9.xml" ContentType="application/vnd.openxmlformats-officedocument.drawingml.chart+xml"/>
  <Override PartName="/xl/charts/chart43.xml" ContentType="application/vnd.openxmlformats-officedocument.drawingml.chart+xml"/>
  <Override PartName="/xl/charts/chart40.xml" ContentType="application/vnd.openxmlformats-officedocument.drawingml.chart+xml"/>
  <Override PartName="/xl/charts/chart6.xml" ContentType="application/vnd.openxmlformats-officedocument.drawingml.chart+xml"/>
  <Override PartName="/xl/charts/chart41.xml" ContentType="application/vnd.openxmlformats-officedocument.drawingml.chart+xml"/>
  <Override PartName="/xl/charts/chart7.xml" ContentType="application/vnd.openxmlformats-officedocument.drawingml.chart+xml"/>
  <Override PartName="/xl/charts/chart30.xml" ContentType="application/vnd.openxmlformats-officedocument.drawingml.chart+xml"/>
  <Override PartName="/xl/charts/chart42.xml" ContentType="application/vnd.openxmlformats-officedocument.drawingml.chart+xml"/>
  <Override PartName="/xl/charts/chart8.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44.xml" ContentType="application/vnd.openxmlformats-officedocument.drawingml.chart+xml"/>
  <Override PartName="/xl/charts/chart33.xml" ContentType="application/vnd.openxmlformats-officedocument.drawingml.chart+xml"/>
  <Override PartName="/xl/charts/chart45.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46.xml" ContentType="application/vnd.openxmlformats-officedocument.drawingml.chart+xml"/>
  <Override PartName="/xl/charts/chart11.xml" ContentType="application/vnd.openxmlformats-officedocument.drawingml.chart+xml"/>
  <Override PartName="/xl/charts/chart13.xml" ContentType="application/vnd.openxmlformats-officedocument.drawingml.chart+xml"/>
  <Override PartName="/xl/charts/chart12.xml" ContentType="application/vnd.openxmlformats-officedocument.drawingml.chart+xml"/>
  <Override PartName="/xl/charts/chart39.xml" ContentType="application/vnd.openxmlformats-officedocument.drawingml.chart+xml"/>
  <Override PartName="/xl/charts/chart5.xml" ContentType="application/vnd.openxmlformats-officedocument.drawingml.chart+xml"/>
  <Override PartName="/xl/charts/chart38.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_rels/drawing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14.xml.rels" ContentType="application/vnd.openxmlformats-package.relationships+xml"/>
  <Override PartName="/xl/drawings/_rels/drawing9.xml.rels" ContentType="application/vnd.openxmlformats-package.relationships+xml"/>
  <Override PartName="/xl/drawings/_rels/drawing15.xml.rels" ContentType="application/vnd.openxmlformats-package.relationships+xml"/>
  <Override PartName="/xl/drawings/_rels/drawing6.xml.rels" ContentType="application/vnd.openxmlformats-package.relationships+xml"/>
  <Override PartName="/xl/drawings/_rels/drawing11.xml.rels" ContentType="application/vnd.openxmlformats-package.relationships+xml"/>
  <Override PartName="/xl/drawings/_rels/drawing1.xml.rels" ContentType="application/vnd.openxmlformats-package.relationships+xml"/>
  <Override PartName="/xl/drawings/_rels/drawing10.xml.rels" ContentType="application/vnd.openxmlformats-package.relationships+xml"/>
  <Override PartName="/xl/drawings/_rels/drawing7.xml.rels" ContentType="application/vnd.openxmlformats-package.relationships+xml"/>
  <Override PartName="/xl/drawings/_rels/drawing12.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Instructions" sheetId="1" state="visible" r:id="rId3"/>
    <sheet name="Canvas" sheetId="2" state="visible" r:id="rId4"/>
    <sheet name="DF1" sheetId="3" state="visible" r:id="rId5"/>
    <sheet name="DF1map" sheetId="4" state="visible" r:id="rId6"/>
    <sheet name="DF2" sheetId="5" state="visible" r:id="rId7"/>
    <sheet name="DF2map" sheetId="6" state="visible" r:id="rId8"/>
    <sheet name="DF3" sheetId="7" state="visible" r:id="rId9"/>
    <sheet name="DF3map" sheetId="8" state="visible" r:id="rId10"/>
    <sheet name="DF4" sheetId="9" state="visible" r:id="rId11"/>
    <sheet name="DF4map" sheetId="10" state="visible" r:id="rId12"/>
    <sheet name="Step2 Summary" sheetId="11" state="visible" r:id="rId13"/>
    <sheet name="DF5" sheetId="12" state="visible" r:id="rId14"/>
    <sheet name="DF5map" sheetId="13" state="visible" r:id="rId15"/>
    <sheet name="DF6" sheetId="14" state="visible" r:id="rId16"/>
    <sheet name="DF6map" sheetId="15" state="visible" r:id="rId17"/>
    <sheet name="DF7" sheetId="16" state="visible" r:id="rId18"/>
    <sheet name="DF7map" sheetId="17" state="visible" r:id="rId19"/>
    <sheet name="DF8" sheetId="18" state="visible" r:id="rId20"/>
    <sheet name="DF8map" sheetId="19" state="visible" r:id="rId21"/>
    <sheet name="DF9" sheetId="20" state="visible" r:id="rId22"/>
    <sheet name="DF9map" sheetId="21" state="visible" r:id="rId23"/>
    <sheet name="DF10" sheetId="22" state="visible" r:id="rId24"/>
    <sheet name="DF10map" sheetId="23" state="visible" r:id="rId25"/>
    <sheet name="Step 3 Summary" sheetId="24" state="visible" r:id="rId26"/>
    <sheet name="Dashboard1" sheetId="25" state="visible" r:id="rId27"/>
    <sheet name="Dashboard2" sheetId="26" state="visible" r:id="rId28"/>
  </sheets>
  <externalReferences>
    <externalReference r:id="rId29"/>
    <externalReference r:id="rId30"/>
  </externalReferences>
  <definedNames>
    <definedName function="false" hidden="false" localSheetId="1" name="_xlnm.Print_Area" vbProcedure="false">Canvas!$A$1:$Y$45</definedName>
    <definedName function="false" hidden="false" localSheetId="1" name="_xlnm.Print_Titles" vbProcedure="false">Canvas!$1:$5</definedName>
    <definedName function="false" hidden="false" localSheetId="2" name="_xlnm.Print_Area" vbProcedure="false">DF1!$A$1:$S$61</definedName>
    <definedName function="false" hidden="false" localSheetId="2" name="_xlnm.Print_Titles" vbProcedure="false">DF1!$1:$2</definedName>
    <definedName function="false" hidden="false" localSheetId="3" name="_xlnm.Print_Area" vbProcedure="false">DF1map!$A$1:$E$41</definedName>
    <definedName function="false" hidden="false" localSheetId="3" name="_xlnm.Print_Titles" vbProcedure="false">DF1map!$1:$1</definedName>
    <definedName function="false" hidden="false" localSheetId="4" name="_xlnm.Print_Area" vbProcedure="false">DF2!$A$1:$S$70</definedName>
    <definedName function="false" hidden="false" localSheetId="4" name="_xlnm.Print_Titles" vbProcedure="false">DF2!$1:$2</definedName>
    <definedName function="false" hidden="false" localSheetId="5" name="_xlnm.Print_Area" vbProcedure="false">DF2map!$A$1:$AP$50</definedName>
    <definedName function="false" hidden="false" localSheetId="6" name="_xlnm.Print_Area" vbProcedure="false">DF3!$A$1:$V$74</definedName>
    <definedName function="false" hidden="false" localSheetId="6" name="_xlnm.Print_Titles" vbProcedure="false">DF3!$1:$2</definedName>
    <definedName function="false" hidden="false" localSheetId="7" name="_xlnm.Print_Area" vbProcedure="false">DF3map!$A$1:$T$42</definedName>
    <definedName function="false" hidden="false" localSheetId="7" name="_xlnm.Print_Titles" vbProcedure="false">DF3map!$1:$2</definedName>
    <definedName function="false" hidden="false" localSheetId="8" name="_xlnm.Print_Area" vbProcedure="false">DF4!$A$1:$U$70</definedName>
    <definedName function="false" hidden="false" localSheetId="8" name="_xlnm.Print_Titles" vbProcedure="false">DF4!$1:$2</definedName>
    <definedName function="false" hidden="false" localSheetId="9" name="_xlnm.Print_Area" vbProcedure="false">DF4map!$A$1:$W$31</definedName>
    <definedName function="false" hidden="false" localSheetId="9" name="_xlnm.Print_Titles" vbProcedure="false">DF4map!$1:$1</definedName>
    <definedName function="false" hidden="true" localSheetId="9" name="_xlnm._FilterDatabase" vbProcedure="false">DF4map!$A$1:$W$41</definedName>
    <definedName function="false" hidden="false" localSheetId="0" name="_xlnm.Print_Area" vbProcedure="false">Instructions!$A$1:$D$33</definedName>
    <definedName function="false" hidden="false" localSheetId="0" name="_xlnm.Print_Titles" vbProcedure="false">Instructions!$1:$2</definedName>
    <definedName function="false" hidden="false" name="ddddddddddd" vbProcedure="false">#REF!</definedName>
    <definedName function="false" hidden="false" name="NTopProcesses" vbProcedure="false">#REF!</definedName>
    <definedName function="false" hidden="false" name="Process_Weight_Difference_Factor" vbProcedure="false">#REF!</definedName>
    <definedName function="false" hidden="false" name="Spread_TRH_2" vbProcedure="false">[2]PARAM!$B$5</definedName>
    <definedName function="false" hidden="false" name="Spread_TRH_4A" vbProcedure="false">[2]PARAM!$B$6</definedName>
    <definedName function="false" hidden="false" name="Spread_TRH_A" vbProcedure="false">[2]PARAM!$B$2</definedName>
    <definedName function="false" hidden="false" name="Spread_TRH_B" vbProcedure="false">[2]PARAM!$B$3</definedName>
    <definedName function="false" hidden="false" name="_020Spread_TRH_A" vbProcedure="false">[1]PARAM!$B$2</definedName>
    <definedName function="false" hidden="false" localSheetId="2" name="ddddddddddd" vbProcedure="false">#REF!</definedName>
    <definedName function="false" hidden="false" localSheetId="2" name="NTopProcesses" vbProcedure="false">#REF!</definedName>
    <definedName function="false" hidden="false" localSheetId="2" name="Process_Weight_Difference_Factor" vbProcedure="false">#REF!</definedName>
    <definedName function="false" hidden="false" localSheetId="4" name="ddddddddddd" vbProcedure="false">#REF!</definedName>
    <definedName function="false" hidden="false" localSheetId="4" name="NTopProcesses" vbProcedure="false">#REF!</definedName>
    <definedName function="false" hidden="false" localSheetId="4" name="Process_Weight_Difference_Factor" vbProcedure="false">#REF!</definedName>
    <definedName function="false" hidden="false" localSheetId="5" name="ddddddddddd" vbProcedure="false">#REF!</definedName>
    <definedName function="false" hidden="false" localSheetId="5" name="Process_Weight_Difference_Factor" vbProcedure="false">#REF!</definedName>
    <definedName function="false" hidden="false" localSheetId="6" name="ddddddddddd" vbProcedure="false">#REF!</definedName>
    <definedName function="false" hidden="false" localSheetId="6" name="NTopProcesses" vbProcedure="false">#REF!</definedName>
    <definedName function="false" hidden="false" localSheetId="6" name="Process_Weight_Difference_Factor" vbProcedure="false">#REF!</definedName>
    <definedName function="false" hidden="false" localSheetId="7" name="ddddddddddd" vbProcedure="false">#REF!</definedName>
    <definedName function="false" hidden="false" localSheetId="7" name="Process_Weight_Difference_Factor" vbProcedure="false">#REF!</definedName>
    <definedName function="false" hidden="false" localSheetId="8" name="ddddddddddd" vbProcedure="false">#REF!</definedName>
    <definedName function="false" hidden="false" localSheetId="8" name="NTopProcesses" vbProcedure="false">#REF!</definedName>
    <definedName function="false" hidden="false" localSheetId="8" name="Process_Weight_Difference_Factor" vbProcedure="false">#REF!</definedName>
    <definedName function="false" hidden="false" localSheetId="9" name="ddddddddddd" vbProcedure="false">#REF!</definedName>
    <definedName function="false" hidden="false" localSheetId="9" name="Process_Weight_Difference_Factor"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<sst xmlns="http://schemas.openxmlformats.org/spreadsheetml/2006/main" count="1436" uniqueCount="399">
  <si>
    <t xml:space="preserve">COBIT® 2019 Governance System Design Workbook—Instructions</t>
  </si>
  <si>
    <t xml:space="preserve">Terms &amp; Definitions</t>
  </si>
  <si>
    <t xml:space="preserve">Relative importance</t>
  </si>
  <si>
    <t xml:space="preserve">Relative importance (of governance and management objectives) is a number that indicates the influence of a certain design factor on the importance of a certain COBIT governance or management objective as compared to a baseline (standard) situation. The number is calculated as a percentage difference between the baseline and the current situation, as determined by the values given to the design factor at hand.</t>
  </si>
  <si>
    <t xml:space="preserve">Instructions</t>
  </si>
  <si>
    <t xml:space="preserve">Sheet</t>
  </si>
  <si>
    <t xml:space="preserve">Canvas</t>
  </si>
  <si>
    <t xml:space="preserve">In this sheet all results of the impact assessment of the design factors are summarized. This is done in line with the governance system design flow explained in the COBIT Design Guide.
The user can provide input in columns R/S to adjust the results of the automated calculations, taking into account the enterprise's specific context.  When making adjustments in column R, the spreadsheet expects an explanation in column S. </t>
  </si>
  <si>
    <t xml:space="preserve">Input Section</t>
  </si>
  <si>
    <t xml:space="preserve">Output Section</t>
  </si>
  <si>
    <t xml:space="preserve">DF1</t>
  </si>
  <si>
    <t xml:space="preserve">Description</t>
  </si>
  <si>
    <t xml:space="preserve">In this sheet, the importance of different enterprise strategies can be described. The importance is expressed as an integer value between 1 (Not Important) and 5 (Critical) and can be entered in cells C8-C11.  
The chosen values are represented graphically in the two diagrams in the input section. The diagrams depict the same information, one in a bar chart, the other in a spider chart.</t>
  </si>
  <si>
    <t xml:space="preserve">The output section of this sheet contains the calculated relative importance of each of the 40 COBIT 2019 Governance and Management Objectives</t>
  </si>
  <si>
    <t xml:space="preserve">User Action Required</t>
  </si>
  <si>
    <t xml:space="preserve">[Optional] Enter values between 1 and 5 expressing the importance or relevance of each of the given generic enterprise strategies for the user enterprise</t>
  </si>
  <si>
    <t xml:space="preserve">a) Observe the resulting importance scores for each of the 40 governance/management objectives.
b) [Optional] Use the graphic(s) for reporting the outcome of this step in the governance system design process. Both diagrams contain the same information but in a different representation. Use the one that suits you best.</t>
  </si>
  <si>
    <t xml:space="preserve">DF2</t>
  </si>
  <si>
    <t xml:space="preserve">DF3</t>
  </si>
  <si>
    <t xml:space="preserve">DF4</t>
  </si>
  <si>
    <t xml:space="preserve">DF5</t>
  </si>
  <si>
    <t xml:space="preserve">DF6</t>
  </si>
  <si>
    <t xml:space="preserve">DF7</t>
  </si>
  <si>
    <t xml:space="preserve">DF8</t>
  </si>
  <si>
    <t xml:space="preserve">DF9</t>
  </si>
  <si>
    <t xml:space="preserve">DF10</t>
  </si>
  <si>
    <t xml:space="preserve">Chart 1</t>
  </si>
  <si>
    <t xml:space="preserve">Chart 2</t>
  </si>
  <si>
    <t xml:space="preserve">COBIT® 2019 Governance System Design Workbook—Canvas</t>
  </si>
  <si>
    <t xml:space="preserve">Step 2: Determine the initial scope of the Governance System</t>
  </si>
  <si>
    <t xml:space="preserve">Step 3: Refine the scope of the Governance System</t>
  </si>
  <si>
    <t xml:space="preserve">Step 4: Conclude the Scope of the Governance System</t>
  </si>
  <si>
    <t xml:space="preserve">Design Factors: </t>
  </si>
  <si>
    <t xml:space="preserve">Enterprise Strategy</t>
  </si>
  <si>
    <t xml:space="preserve">Enterprise Goals</t>
  </si>
  <si>
    <t xml:space="preserve">Risk Profile</t>
  </si>
  <si>
    <t xml:space="preserve">IT-Related Issues</t>
  </si>
  <si>
    <t xml:space="preserve">Initial Scope: Governance/
Management Objectives Score</t>
  </si>
  <si>
    <t xml:space="preserve">Threat Landscape</t>
  </si>
  <si>
    <t xml:space="preserve">Compliance Req's</t>
  </si>
  <si>
    <t xml:space="preserve">Role of IT</t>
  </si>
  <si>
    <t xml:space="preserve">Sourcing Model
for IT</t>
  </si>
  <si>
    <t xml:space="preserve">IT Implementation Methods</t>
  </si>
  <si>
    <t xml:space="preserve">Technology Adoption Strategy</t>
  </si>
  <si>
    <t xml:space="preserve">Size</t>
  </si>
  <si>
    <t xml:space="preserve">Refined Scope: Governance/
Management Objectives Score</t>
  </si>
  <si>
    <t xml:space="preserve">Adjustment (between -100 and +100)</t>
  </si>
  <si>
    <t xml:space="preserve">Reason</t>
  </si>
  <si>
    <t xml:space="preserve">Concluded Scope: Governance/
Management Objectives Priority</t>
  </si>
  <si>
    <t xml:space="preserve">Suggested Target Capability Level</t>
  </si>
  <si>
    <t xml:space="preserve">Agreed Target Capability Level</t>
  </si>
  <si>
    <t xml:space="preserve">Weight</t>
  </si>
  <si>
    <t xml:space="preserve">EDM01—Ensured  Governance Framework Setting &amp; Maintenance</t>
  </si>
  <si>
    <t xml:space="preserve">EDM02—Ensured Benefits Delivery</t>
  </si>
  <si>
    <t xml:space="preserve">EDM03—Ensured Risk Optimization</t>
  </si>
  <si>
    <t xml:space="preserve">EDM04—Ensured Resource Optimization</t>
  </si>
  <si>
    <t xml:space="preserve">EDM05—Ensured Stakeholder Engagement</t>
  </si>
  <si>
    <t xml:space="preserve">APO01—Managed I&amp;T Management Framework</t>
  </si>
  <si>
    <t xml:space="preserve">APO02—Managed Strategy</t>
  </si>
  <si>
    <t xml:space="preserve">APO03—Managed Enterprise Architecture</t>
  </si>
  <si>
    <t xml:space="preserve">APO04—Managed Innovation</t>
  </si>
  <si>
    <t xml:space="preserve">APO05—Managed Portfolio</t>
  </si>
  <si>
    <t xml:space="preserve">APO06—Managed Budget &amp; Costs</t>
  </si>
  <si>
    <t xml:space="preserve">APO07—Managed Human Resources</t>
  </si>
  <si>
    <t xml:space="preserve">APO08—Managed Relationships</t>
  </si>
  <si>
    <t xml:space="preserve">APO09—Managed Service Agreements</t>
  </si>
  <si>
    <t xml:space="preserve">APO10—Managed Vendors</t>
  </si>
  <si>
    <t xml:space="preserve">APO11—Managed Quality</t>
  </si>
  <si>
    <t xml:space="preserve">APO12—Managed Risk</t>
  </si>
  <si>
    <t xml:space="preserve">APO13—Managed Security</t>
  </si>
  <si>
    <t xml:space="preserve">APO14—Managed Data</t>
  </si>
  <si>
    <t xml:space="preserve">BAI01—Managed Programs</t>
  </si>
  <si>
    <t xml:space="preserve">BAI02—Managed Requirements Definition</t>
  </si>
  <si>
    <t xml:space="preserve">BAI03—Managed Solutions Identification &amp; Build</t>
  </si>
  <si>
    <t xml:space="preserve">BAI04—Managed Availability &amp; Capacity</t>
  </si>
  <si>
    <t xml:space="preserve">BAI05—Managed Organizational Change</t>
  </si>
  <si>
    <t xml:space="preserve">BAI06—Managed IT Changes</t>
  </si>
  <si>
    <t xml:space="preserve">BAI07—Managed IT Change Acceptance and Transitioning</t>
  </si>
  <si>
    <t xml:space="preserve">BAI08—Managed Knowledge</t>
  </si>
  <si>
    <t xml:space="preserve">BAI09—Managed Assets</t>
  </si>
  <si>
    <t xml:space="preserve">BAI10—Managed Configuration</t>
  </si>
  <si>
    <t xml:space="preserve">BAI11—Managed Projects</t>
  </si>
  <si>
    <t xml:space="preserve">DSS01—Managed Operations</t>
  </si>
  <si>
    <t xml:space="preserve">DSS02—Managed Service Requests &amp; Incidents</t>
  </si>
  <si>
    <t xml:space="preserve">DSS03—Managed Problems</t>
  </si>
  <si>
    <t xml:space="preserve">DSS04—Managed Continuity</t>
  </si>
  <si>
    <t xml:space="preserve">DSS05—Managed Security Services</t>
  </si>
  <si>
    <t xml:space="preserve">DSS06—Managed Business Process Controls</t>
  </si>
  <si>
    <t xml:space="preserve">MEA01—Managed Performance and Conformance Monitoring</t>
  </si>
  <si>
    <t xml:space="preserve">MEA02—Managed System of Internal Control</t>
  </si>
  <si>
    <t xml:space="preserve">MEA03—Managed Compliance with External Requirements</t>
  </si>
  <si>
    <t xml:space="preserve">MEA04—Managed Assurance</t>
  </si>
  <si>
    <t xml:space="preserve">Information &amp; Technology Governance System Design
Design Factor 1 Enterprise Strategy </t>
  </si>
  <si>
    <t xml:space="preserve">Input Section—Importance of Each Enterprise Strategy Archetype</t>
  </si>
  <si>
    <t xml:space="preserve">Value</t>
  </si>
  <si>
    <t xml:space="preserve">Importance 
(1-5)</t>
  </si>
  <si>
    <t xml:space="preserve">Baseline</t>
  </si>
  <si>
    <t xml:space="preserve">Growth/Acquisition</t>
  </si>
  <si>
    <t xml:space="preserve">Innovation/Differentiation</t>
  </si>
  <si>
    <t xml:space="preserve">Cost Leadership</t>
  </si>
  <si>
    <t xml:space="preserve">Client Service/Stability</t>
  </si>
  <si>
    <t xml:space="preserve">Average</t>
  </si>
  <si>
    <t xml:space="preserve">Stdev</t>
  </si>
  <si>
    <t xml:space="preserve">Correction Factor</t>
  </si>
  <si>
    <t xml:space="preserve">Output Section—Resulting relative importance of each governance/management objective</t>
  </si>
  <si>
    <t xml:space="preserve">Resulting Governance/Management Objectives Importance</t>
  </si>
  <si>
    <t xml:space="preserve">Governance / Management Objective</t>
  </si>
  <si>
    <t xml:space="preserve">Score</t>
  </si>
  <si>
    <t xml:space="preserve">Baseline Score</t>
  </si>
  <si>
    <t xml:space="preserve">Relative Importance</t>
  </si>
  <si>
    <t xml:space="preserve">Growth / Acquisition</t>
  </si>
  <si>
    <t xml:space="preserve">Innovation / Differentiation</t>
  </si>
  <si>
    <t xml:space="preserve">Client Service / Stability</t>
  </si>
  <si>
    <t xml:space="preserve">EDM01</t>
  </si>
  <si>
    <t xml:space="preserve">EDM02</t>
  </si>
  <si>
    <t xml:space="preserve">EDM03</t>
  </si>
  <si>
    <t xml:space="preserve">EDM04</t>
  </si>
  <si>
    <t xml:space="preserve">EDM05</t>
  </si>
  <si>
    <t xml:space="preserve">APO01</t>
  </si>
  <si>
    <t xml:space="preserve">APO02</t>
  </si>
  <si>
    <t xml:space="preserve">APO03</t>
  </si>
  <si>
    <t xml:space="preserve">APO04</t>
  </si>
  <si>
    <t xml:space="preserve">APO05</t>
  </si>
  <si>
    <t xml:space="preserve">APO06</t>
  </si>
  <si>
    <t xml:space="preserve">APO07</t>
  </si>
  <si>
    <t xml:space="preserve">APO08</t>
  </si>
  <si>
    <t xml:space="preserve">APO09</t>
  </si>
  <si>
    <t xml:space="preserve">APO10</t>
  </si>
  <si>
    <t xml:space="preserve">APO11</t>
  </si>
  <si>
    <t xml:space="preserve">APO12</t>
  </si>
  <si>
    <t xml:space="preserve">APO13</t>
  </si>
  <si>
    <t xml:space="preserve">APO14</t>
  </si>
  <si>
    <t xml:space="preserve">BAI01</t>
  </si>
  <si>
    <t xml:space="preserve">BAI02</t>
  </si>
  <si>
    <t xml:space="preserve">BAI03</t>
  </si>
  <si>
    <t xml:space="preserve">BAI04</t>
  </si>
  <si>
    <t xml:space="preserve">BAI05</t>
  </si>
  <si>
    <t xml:space="preserve">BAI06</t>
  </si>
  <si>
    <t xml:space="preserve">BAI07</t>
  </si>
  <si>
    <t xml:space="preserve">BAI08</t>
  </si>
  <si>
    <t xml:space="preserve">BAI09</t>
  </si>
  <si>
    <t xml:space="preserve">BAI10</t>
  </si>
  <si>
    <t xml:space="preserve">BAI11</t>
  </si>
  <si>
    <t xml:space="preserve">DSS01</t>
  </si>
  <si>
    <t xml:space="preserve">DSS02</t>
  </si>
  <si>
    <t xml:space="preserve">DSS03</t>
  </si>
  <si>
    <t xml:space="preserve">DSS04</t>
  </si>
  <si>
    <t xml:space="preserve">DSS05</t>
  </si>
  <si>
    <t xml:space="preserve">DSS06</t>
  </si>
  <si>
    <t xml:space="preserve">MEA01</t>
  </si>
  <si>
    <t xml:space="preserve">MEA02</t>
  </si>
  <si>
    <t xml:space="preserve">MEA03</t>
  </si>
  <si>
    <t xml:space="preserve">MEA04</t>
  </si>
  <si>
    <t xml:space="preserve">Information &amp; Technology Governance System Design
Design Factor 2 Enterprise Goals </t>
  </si>
  <si>
    <t xml:space="preserve">Input Section—Importance of Each Enterprise Goal</t>
  </si>
  <si>
    <t xml:space="preserve">Importance (1-5)</t>
  </si>
  <si>
    <t xml:space="preserve">EG01—Portafolio de productos y servicios competitivos</t>
  </si>
  <si>
    <t xml:space="preserve">EG02—Gestion de riesgo del negocio</t>
  </si>
  <si>
    <t xml:space="preserve">EG03—Cumplimiento de leyes y regulaciones externas</t>
  </si>
  <si>
    <t xml:space="preserve">EG04—Calidad de la informacion financiera</t>
  </si>
  <si>
    <t xml:space="preserve">EG05—Cultura de servicio orientada al cliente</t>
  </si>
  <si>
    <t xml:space="preserve">EG06—Continuidad y disponibilidad de los servicios del negocio</t>
  </si>
  <si>
    <t xml:space="preserve">EG07—Calidad de la información y gestión</t>
  </si>
  <si>
    <t xml:space="preserve">EG08—Optimización de la funcionalidad de los procesos internos del negocio</t>
  </si>
  <si>
    <t xml:space="preserve">EG09—Optimización de costos de los procesos de negocio</t>
  </si>
  <si>
    <t xml:space="preserve">EG10—Habilidades, motivación y productividad del personal</t>
  </si>
  <si>
    <t xml:space="preserve">EG11—Cumplimiento de las politicas internas</t>
  </si>
  <si>
    <t xml:space="preserve">EG12—Gestión de programas de transformacion digital</t>
  </si>
  <si>
    <t xml:space="preserve">EG13—Innovación de productos y negocios</t>
  </si>
  <si>
    <t xml:space="preserve">Resulting Governance/ Management Objectives Importance</t>
  </si>
  <si>
    <t xml:space="preserve">BIA01</t>
  </si>
  <si>
    <t xml:space="preserve">Agile portfolio of competitive products and services</t>
  </si>
  <si>
    <t xml:space="preserve">Managed business risks </t>
  </si>
  <si>
    <t xml:space="preserve">Compliance with external laws and regulations</t>
  </si>
  <si>
    <t xml:space="preserve">Transparency and accuracy of financial information</t>
  </si>
  <si>
    <t xml:space="preserve">Customer-oriented service culture</t>
  </si>
  <si>
    <t xml:space="preserve">Business service continuity and availability</t>
  </si>
  <si>
    <t xml:space="preserve">Quality of management information </t>
  </si>
  <si>
    <t xml:space="preserve">Optimization of internal business process functionality</t>
  </si>
  <si>
    <t xml:space="preserve">Optimization of business process costs</t>
  </si>
  <si>
    <t xml:space="preserve">Staff skills, motivation and productivity</t>
  </si>
  <si>
    <t xml:space="preserve">Compliance with internal policies</t>
  </si>
  <si>
    <t xml:space="preserve">Managed business transformation programs</t>
  </si>
  <si>
    <t xml:space="preserve">Product and business innovation</t>
  </si>
  <si>
    <t xml:space="preserve">Mapping table EG-GA</t>
  </si>
  <si>
    <t xml:space="preserve">AG01</t>
  </si>
  <si>
    <t xml:space="preserve">AG02</t>
  </si>
  <si>
    <t xml:space="preserve">AG03</t>
  </si>
  <si>
    <t xml:space="preserve">AG04</t>
  </si>
  <si>
    <t xml:space="preserve">AG05</t>
  </si>
  <si>
    <t xml:space="preserve">AG06</t>
  </si>
  <si>
    <t xml:space="preserve">AG07</t>
  </si>
  <si>
    <t xml:space="preserve">AG08</t>
  </si>
  <si>
    <t xml:space="preserve">AG09</t>
  </si>
  <si>
    <t xml:space="preserve">AG10</t>
  </si>
  <si>
    <t xml:space="preserve">AG11</t>
  </si>
  <si>
    <t xml:space="preserve">AG12</t>
  </si>
  <si>
    <t xml:space="preserve">AG13</t>
  </si>
  <si>
    <t xml:space="preserve">IT compliance and support for business compliance with external laws and regulations</t>
  </si>
  <si>
    <t xml:space="preserve">Managed Technology &amp; Information related risks</t>
  </si>
  <si>
    <t xml:space="preserve">Realized benefits from IT-enabled investments  and services portfolio</t>
  </si>
  <si>
    <t xml:space="preserve">Quality of technology related financial information</t>
  </si>
  <si>
    <t xml:space="preserve">delivery of IT services  in line with business requirements</t>
  </si>
  <si>
    <t xml:space="preserve">Agility to turn business requirements into operational solutions</t>
  </si>
  <si>
    <t xml:space="preserve">Security of information, processing infrastructure and applications</t>
  </si>
  <si>
    <t xml:space="preserve">Enablement and support of business processes by Integrating applications and technology</t>
  </si>
  <si>
    <t xml:space="preserve">Delivery of programs  on time, on budget, and meeting requirements and quality standards</t>
  </si>
  <si>
    <t xml:space="preserve">Quality of IT Management Information</t>
  </si>
  <si>
    <t xml:space="preserve">IT compliance with internal policies</t>
  </si>
  <si>
    <t xml:space="preserve">Competent and motivated staff with mutual understanding of technology and business.</t>
  </si>
  <si>
    <t xml:space="preserve">Knowledge, expertise and initiatives for business innovation</t>
  </si>
  <si>
    <t xml:space="preserve">EG01</t>
  </si>
  <si>
    <t xml:space="preserve">Portfolio of agile and competitive products and services</t>
  </si>
  <si>
    <t xml:space="preserve">EG02</t>
  </si>
  <si>
    <t xml:space="preserve">EG03</t>
  </si>
  <si>
    <t xml:space="preserve">EG04</t>
  </si>
  <si>
    <t xml:space="preserve">EG05</t>
  </si>
  <si>
    <t xml:space="preserve">EG06</t>
  </si>
  <si>
    <t xml:space="preserve">EG07</t>
  </si>
  <si>
    <t xml:space="preserve">Accuracy (Quality?) of Management Information </t>
  </si>
  <si>
    <t xml:space="preserve">EG08</t>
  </si>
  <si>
    <t xml:space="preserve">Optimization of business process functionality</t>
  </si>
  <si>
    <t xml:space="preserve">EG09</t>
  </si>
  <si>
    <t xml:space="preserve">EG10</t>
  </si>
  <si>
    <t xml:space="preserve">EG11</t>
  </si>
  <si>
    <t xml:space="preserve">EG12</t>
  </si>
  <si>
    <t xml:space="preserve">EG13</t>
  </si>
  <si>
    <t xml:space="preserve">Mapping Table AG-GMO</t>
  </si>
  <si>
    <t xml:space="preserve">Ensured Governance Framework Setting &amp; Maintenance</t>
  </si>
  <si>
    <t xml:space="preserve">Ensured Benefits Delivery</t>
  </si>
  <si>
    <t xml:space="preserve">Ensured Risk Optimization</t>
  </si>
  <si>
    <t xml:space="preserve">Ensured Resource Optimization</t>
  </si>
  <si>
    <t xml:space="preserve">Ensured Stakeholder Transparency</t>
  </si>
  <si>
    <t xml:space="preserve">Managed IT Management Framework</t>
  </si>
  <si>
    <t xml:space="preserve">Managed Strategy</t>
  </si>
  <si>
    <t xml:space="preserve">Managed Architecture</t>
  </si>
  <si>
    <t xml:space="preserve">Managed Innovation</t>
  </si>
  <si>
    <t xml:space="preserve">Managed Portfolio</t>
  </si>
  <si>
    <t xml:space="preserve">Managed Budget &amp; Costs</t>
  </si>
  <si>
    <t xml:space="preserve">Managed Human Resources</t>
  </si>
  <si>
    <t xml:space="preserve">Managed Relationships</t>
  </si>
  <si>
    <t xml:space="preserve">Managed Service Agreements</t>
  </si>
  <si>
    <t xml:space="preserve">Managed Suppliers</t>
  </si>
  <si>
    <t xml:space="preserve">Managed Quality</t>
  </si>
  <si>
    <t xml:space="preserve">Managed Risk</t>
  </si>
  <si>
    <t xml:space="preserve">Managed Information Security</t>
  </si>
  <si>
    <t xml:space="preserve">Managed Data</t>
  </si>
  <si>
    <t xml:space="preserve">Managed Programs</t>
  </si>
  <si>
    <t xml:space="preserve">Managed Requirements Definition</t>
  </si>
  <si>
    <t xml:space="preserve">Managed Solutions Identification &amp; Build</t>
  </si>
  <si>
    <t xml:space="preserve">Managed Availability &amp; Capacity</t>
  </si>
  <si>
    <t xml:space="preserve">Managed Organizational Change</t>
  </si>
  <si>
    <t xml:space="preserve">Managed IT Changes</t>
  </si>
  <si>
    <t xml:space="preserve">Managed IT Change Acceptance &amp; Transitioning</t>
  </si>
  <si>
    <t xml:space="preserve">Managed Knowledge</t>
  </si>
  <si>
    <t xml:space="preserve">Managed Assets</t>
  </si>
  <si>
    <t xml:space="preserve">Managed Configuration</t>
  </si>
  <si>
    <t xml:space="preserve">Managed Projects</t>
  </si>
  <si>
    <t xml:space="preserve">Managed Operations</t>
  </si>
  <si>
    <t xml:space="preserve">Managed Service Requests &amp; Incidents</t>
  </si>
  <si>
    <t xml:space="preserve">Managed Problems</t>
  </si>
  <si>
    <t xml:space="preserve">Managed Continuity</t>
  </si>
  <si>
    <t xml:space="preserve">Managed Security Services</t>
  </si>
  <si>
    <t xml:space="preserve">Managed Business Process Controls</t>
  </si>
  <si>
    <t xml:space="preserve">Managed Performance &amp; Conformance Monitoring</t>
  </si>
  <si>
    <t xml:space="preserve">Managed System of Internal Control</t>
  </si>
  <si>
    <t xml:space="preserve">Managed Compliance with External Requirements</t>
  </si>
  <si>
    <t xml:space="preserve">Managed Internal Audit</t>
  </si>
  <si>
    <t xml:space="preserve">Delivery of IT services  in line with business requirements</t>
  </si>
  <si>
    <t xml:space="preserve">Imp®</t>
  </si>
  <si>
    <t xml:space="preserve">Information &amp; Technology Governance System Design
Design Factor 3 Risk Profile</t>
  </si>
  <si>
    <t xml:space="preserve">Input Section—Importance of Each Generic IT Risk Category</t>
  </si>
  <si>
    <t xml:space="preserve">Risk Scenario Category</t>
  </si>
  <si>
    <t xml:space="preserve">Impact 
(1-5)</t>
  </si>
  <si>
    <t xml:space="preserve">Likelihood (1-5)</t>
  </si>
  <si>
    <t xml:space="preserve">Risk Rating</t>
  </si>
  <si>
    <t xml:space="preserve">Toma de decisiones de inversión en TI, definición y mantenimiento de cartera</t>
  </si>
  <si>
    <t xml:space="preserve">Very High Risk</t>
  </si>
  <si>
    <t xml:space="preserve">Gestión del ciclo de vida de programas y proyectos</t>
  </si>
  <si>
    <t xml:space="preserve">High Risk</t>
  </si>
  <si>
    <t xml:space="preserve">Costes y supervisión de TI</t>
  </si>
  <si>
    <t xml:space="preserve">Normal Risk</t>
  </si>
  <si>
    <t xml:space="preserve">Experiencia, habilidades y comportamiento en TI</t>
  </si>
  <si>
    <t xml:space="preserve">Low Risk</t>
  </si>
  <si>
    <t xml:space="preserve">Arquitectura empresarial/de TI</t>
  </si>
  <si>
    <t xml:space="preserve">incidentes en la infraestructura operativa de TI</t>
  </si>
  <si>
    <t xml:space="preserve">Acciones no autorizadas</t>
  </si>
  <si>
    <t xml:space="preserve">Problemas de adopción/uso de software</t>
  </si>
  <si>
    <t xml:space="preserve">incidentes de hardware</t>
  </si>
  <si>
    <t xml:space="preserve">fallos de software</t>
  </si>
  <si>
    <t xml:space="preserve">Ataques lógicos (piratería informática, malware, etc.)</t>
  </si>
  <si>
    <t xml:space="preserve">Incidentes con terceros/proveedores</t>
  </si>
  <si>
    <t xml:space="preserve">Incumplimiento</t>
  </si>
  <si>
    <t xml:space="preserve">Cuestiones geopolíticas</t>
  </si>
  <si>
    <t xml:space="preserve">acción industrial</t>
  </si>
  <si>
    <t xml:space="preserve">fenómenos naturales</t>
  </si>
  <si>
    <t xml:space="preserve">Innovación basada en la tecnología</t>
  </si>
  <si>
    <t xml:space="preserve">Ambiental</t>
  </si>
  <si>
    <t xml:space="preserve">Gestión de datos e información</t>
  </si>
  <si>
    <t xml:space="preserve">IT Investment Decision Making, Portfolio Definition &amp; Maintenance</t>
  </si>
  <si>
    <t xml:space="preserve">Program &amp; Projects Life Cycle Management</t>
  </si>
  <si>
    <t xml:space="preserve">IT Cost &amp; Oversight</t>
  </si>
  <si>
    <t xml:space="preserve">IT Expertise, Skills &amp; Behavior</t>
  </si>
  <si>
    <t xml:space="preserve">Enterprise/
IT Architecture </t>
  </si>
  <si>
    <t xml:space="preserve">IT Operational Infrastructure Incidents</t>
  </si>
  <si>
    <t xml:space="preserve">Unauthorized Actions</t>
  </si>
  <si>
    <t xml:space="preserve">Software Adoption/
Usage Problems</t>
  </si>
  <si>
    <t xml:space="preserve">Hardware Incidents</t>
  </si>
  <si>
    <t xml:space="preserve">Software Failures</t>
  </si>
  <si>
    <t xml:space="preserve">Logical Attacks (Hacking, Malware, etc.)</t>
  </si>
  <si>
    <t xml:space="preserve">Third-Party/
Supplier Incidents</t>
  </si>
  <si>
    <t xml:space="preserve">Noncompliance</t>
  </si>
  <si>
    <t xml:space="preserve">Geopolitical Issues</t>
  </si>
  <si>
    <t xml:space="preserve">Industrial Action</t>
  </si>
  <si>
    <t xml:space="preserve">Acts of Nature</t>
  </si>
  <si>
    <t xml:space="preserve">Technology-Based Innovation </t>
  </si>
  <si>
    <t xml:space="preserve">Environmental</t>
  </si>
  <si>
    <t xml:space="preserve">Data &amp; Information Management</t>
  </si>
  <si>
    <t xml:space="preserve">Information &amp; Technology Governance System Design
Design Factor 4 IT-Related Issues </t>
  </si>
  <si>
    <t xml:space="preserve">Input Section—Importance of Each Generic IT-Related Issue</t>
  </si>
  <si>
    <t xml:space="preserve">IT-Related Issue</t>
  </si>
  <si>
    <t xml:space="preserve">Importance
 (1-3)</t>
  </si>
  <si>
    <t xml:space="preserve">Frustración entre las diferentes entidades de TI de la organización debido a la percepción de una baja contribución al valor del negocio.</t>
  </si>
  <si>
    <t xml:space="preserve">Sin problema</t>
  </si>
  <si>
    <t xml:space="preserve">Frustración entre los departamentos comerciales (es decir, el cliente de TI) y el departamento de TI debido a iniciativas fallidas o a la percepción de una baja contribución al valor empresarial.</t>
  </si>
  <si>
    <t xml:space="preserve">Problema</t>
  </si>
  <si>
    <t xml:space="preserve">Incidentes significativos relacionados con las TI, como pérdida de datos, brechas de seguridad, fracaso de proyectos y errores de aplicaciones, vinculados a las TI</t>
  </si>
  <si>
    <t xml:space="preserve">Problema grave</t>
  </si>
  <si>
    <t xml:space="preserve">Problemas en la prestación de servicios por parte del/los proveedor/es de servicios informáticos subcontratados</t>
  </si>
  <si>
    <t xml:space="preserve">Incumplimiento de los requisitos contractuales o reglamentarios relacionados con las TI</t>
  </si>
  <si>
    <t xml:space="preserve">Resultados de auditorías periódicas u otros informes de evaluación sobre el bajo rendimiento de TI o problemas de calidad o servicio de TI reportados.</t>
  </si>
  <si>
    <t xml:space="preserve">Gastos informáticos sustanciales, ocultos y no autorizados; es decir, gastos informáticos realizados por departamentos de usuarios fuera del control de los mecanismos normales de decisión de inversión en TI y de los presupuestos aprobados.</t>
  </si>
  <si>
    <t xml:space="preserve">Duplicaciones o solapamientos entre diversas iniciativas, u otras formas de desperdicio de recursos</t>
  </si>
  <si>
    <t xml:space="preserve">Recursos informáticos insuficientes, personal con habilidades inadecuadas o agotamiento/insatisfacción del personal.</t>
  </si>
  <si>
    <t xml:space="preserve">Los cambios o proyectos impulsados ​​por TI frecuentemente no satisfacen las necesidades del negocio y se entregan con retraso o con sobrecostes.</t>
  </si>
  <si>
    <t xml:space="preserve">La reticencia de los miembros del consejo, los ejecutivos o la alta dirección a involucrarse con las TI, o la falta de un patrocinio empresarial comprometido para las TI.</t>
  </si>
  <si>
    <t xml:space="preserve">Modelo operativo de TI complejo y/o mecanismos de decisión poco claros para las decisiones relacionadas con las TI</t>
  </si>
  <si>
    <t xml:space="preserve">Coste excesivamente alto de TI</t>
  </si>
  <si>
    <t xml:space="preserve">La implementación de nuevas iniciativas o innovaciones se ha visto obstaculizada o ha fracasado debido a la arquitectura y los sistemas de TI actuales.</t>
  </si>
  <si>
    <t xml:space="preserve">Existe una brecha entre el conocimiento empresarial y el técnico, lo que provoca que los usuarios empresariales y los especialistas en información y/o tecnología hablen idiomas diferentes.</t>
  </si>
  <si>
    <t xml:space="preserve">Problemas frecuentes con la calidad de los datos y la integración de datos de diversas fuentes</t>
  </si>
  <si>
    <t xml:space="preserve">El alto nivel de computación por parte del usuario final crea (entre otros problemas) una falta de supervisión y control de calidad sobre las aplicaciones que se desarrollan y se ponen en funcionamiento.</t>
  </si>
  <si>
    <t xml:space="preserve">Los departamentos empresariales implementan sus propias soluciones de información con poca o ninguna participación del departamento de TI de la empresa (relacionado con la informática del usuario final, lo que a menudo se debe a la insatisfacción con las soluciones y los servicios de TI).</t>
  </si>
  <si>
    <t xml:space="preserve">Desconocimiento o incumplimiento de las normas de privacidad</t>
  </si>
  <si>
    <t xml:space="preserve">Incapacidad para aprovechar las nuevas tecnologías o innovar utilizando tecnologías de la información y la comunicación (TIC).</t>
  </si>
  <si>
    <t xml:space="preserve">Frustration between different IT entities across the organization because of a perception of low contribution to business value</t>
  </si>
  <si>
    <t xml:space="preserve">Frustration between business departments (i.e., the IT customer) and the IT department because of failed initiatives or a perception of low contribution to business value</t>
  </si>
  <si>
    <t xml:space="preserve">Significant IT-related incidents, such as data loss, security breaches, project failure and application errors, linked to IT</t>
  </si>
  <si>
    <t xml:space="preserve">Service delivery problems by the IT outsourcer(s) </t>
  </si>
  <si>
    <t xml:space="preserve">Failures to meet IT-related regulatory or contractual requirements </t>
  </si>
  <si>
    <t xml:space="preserve">Regular audit findings or other assessment reports about poor IT performance or reported IT quality or service problems</t>
  </si>
  <si>
    <t xml:space="preserve">Substantial hidden and rogue IT spending, that is, IT spending by user departments outside the control of the normal IT investment decision mechanisms and approved budgets</t>
  </si>
  <si>
    <t xml:space="preserve">Duplications or overlaps between various initiatives or other forms of wasted resources</t>
  </si>
  <si>
    <t xml:space="preserve">Insufficient IT resources, staff with inadequate skills or staff burnout / dissatisfaction</t>
  </si>
  <si>
    <t xml:space="preserve"> IT-enabled changes or projects frequently failing to meet business needs and delivered late or over budget</t>
  </si>
  <si>
    <t xml:space="preserve">Reluctance by board members, executives or senior management to engage with IT, or a lack of committed business sponsorship for IT</t>
  </si>
  <si>
    <t xml:space="preserve">Complex IT operating model and/or unclear decision mechanisms for IT-related decisions</t>
  </si>
  <si>
    <t xml:space="preserve">Excessively high cost of IT</t>
  </si>
  <si>
    <t xml:space="preserve">Obstructed or failed implementation of new initiatives or innovations caused by the current IT architecture and systems</t>
  </si>
  <si>
    <t xml:space="preserve">Gap between business and technical knowledge, which leads to business  users and information and/or technology specialists speaking different languages</t>
  </si>
  <si>
    <t xml:space="preserve">Regular issues with data quality and integration of data across various sources </t>
  </si>
  <si>
    <t xml:space="preserve">High level of end-user computing, creating (among other problems) a lack of oversight and quality control over the applications that are being developed and put in operation</t>
  </si>
  <si>
    <t xml:space="preserve">Business departments implementing their own information solutions with little or no involvement of the enterprise IT department</t>
  </si>
  <si>
    <t xml:space="preserve">Ignorance of and/or noncompliance with privacy regulations</t>
  </si>
  <si>
    <t xml:space="preserve">Inability to exploit new technologies or innovate using I&amp;T</t>
  </si>
  <si>
    <t xml:space="preserve">Information &amp; Technology Governance System Design
Design Factor 5 Threat Landscape </t>
  </si>
  <si>
    <t xml:space="preserve">Input Section—Importance of Threat Landscape</t>
  </si>
  <si>
    <t xml:space="preserve">Importance (100%)</t>
  </si>
  <si>
    <t xml:space="preserve">Page intentionally left blank</t>
  </si>
  <si>
    <t xml:space="preserve">High</t>
  </si>
  <si>
    <t xml:space="preserve">Normal</t>
  </si>
  <si>
    <t xml:space="preserve">Information &amp; Technology Governance System Design
Design Factor 6 Compliance Requirements</t>
  </si>
  <si>
    <t xml:space="preserve">Input Section—Importance of Compliance Requirements</t>
  </si>
  <si>
    <t xml:space="preserve">Importance   (100%)</t>
  </si>
  <si>
    <t xml:space="preserve">Low</t>
  </si>
  <si>
    <t xml:space="preserve">Information &amp; Technology Governance System Design
Design Factor 7 Role of IT</t>
  </si>
  <si>
    <t xml:space="preserve">Input Section—Importance of Role of IT</t>
  </si>
  <si>
    <t xml:space="preserve">Support</t>
  </si>
  <si>
    <t xml:space="preserve">Factory</t>
  </si>
  <si>
    <t xml:space="preserve">Turnaround</t>
  </si>
  <si>
    <t xml:space="preserve">Strategic</t>
  </si>
  <si>
    <t xml:space="preserve">Information &amp; Technology Governance System Design
Design Factor 8 Sourcing Model for IT</t>
  </si>
  <si>
    <t xml:space="preserve">Input Section—Importance of Sourcing Model for IT</t>
  </si>
  <si>
    <t xml:space="preserve">Outsourcing</t>
  </si>
  <si>
    <t xml:space="preserve">Cloud</t>
  </si>
  <si>
    <t xml:space="preserve">Insourced</t>
  </si>
  <si>
    <t xml:space="preserve">Insourcing</t>
  </si>
  <si>
    <t xml:space="preserve">Information &amp; Technology Governance System Design
Design Factor 9 IT Implementation Methods </t>
  </si>
  <si>
    <t xml:space="preserve">Input Section—Importance of IT Implementation Methods</t>
  </si>
  <si>
    <t xml:space="preserve">Agile</t>
  </si>
  <si>
    <t xml:space="preserve">DevOps</t>
  </si>
  <si>
    <t xml:space="preserve">Traditional</t>
  </si>
  <si>
    <t xml:space="preserve">Information &amp; Technology Governance System Design
Design Factor 10 Technology Adoption Strategy</t>
  </si>
  <si>
    <t xml:space="preserve">Input Section—Importance of Technology Adoption Strategy</t>
  </si>
  <si>
    <t xml:space="preserve">First mover</t>
  </si>
  <si>
    <t xml:space="preserve">Follower</t>
  </si>
  <si>
    <t xml:space="preserve">Slow adopter</t>
  </si>
  <si>
    <t xml:space="preserve">First Mover</t>
  </si>
  <si>
    <t xml:space="preserve">Slow Adopter</t>
  </si>
</sst>
</file>

<file path=xl/styles.xml><?xml version="1.0" encoding="utf-8"?>
<styleSheet xmlns="http://schemas.openxmlformats.org/spreadsheetml/2006/main">
  <numFmts count="11">
    <numFmt numFmtId="164" formatCode="General"/>
    <numFmt numFmtId="165" formatCode="###0;[RED]\-###0"/>
    <numFmt numFmtId="166" formatCode="0"/>
    <numFmt numFmtId="167" formatCode="General"/>
    <numFmt numFmtId="168" formatCode="0.0"/>
    <numFmt numFmtId="169" formatCode="0%"/>
    <numFmt numFmtId="170" formatCode="0.00"/>
    <numFmt numFmtId="171" formatCode="0_ ;[RED]\-0\ "/>
    <numFmt numFmtId="172" formatCode="#,##0_ ;[RED]\-#,##0\ "/>
    <numFmt numFmtId="173" formatCode="&quot;RISKCAT&quot;00"/>
    <numFmt numFmtId="174" formatCode="&quot;ITG&quot;00"/>
  </numFmts>
  <fonts count="90">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4"/>
      <color theme="3"/>
      <name val="Calibri"/>
      <family val="2"/>
      <charset val="1"/>
    </font>
    <font>
      <b val="true"/>
      <sz val="15"/>
      <color theme="3"/>
      <name val="Calibri"/>
      <family val="2"/>
      <charset val="1"/>
    </font>
    <font>
      <b val="true"/>
      <sz val="14"/>
      <color theme="4" tint="-0.25"/>
      <name val="Calibri"/>
      <family val="2"/>
      <charset val="1"/>
    </font>
    <font>
      <b val="true"/>
      <sz val="11"/>
      <color theme="3"/>
      <name val="Calibri"/>
      <family val="2"/>
      <charset val="1"/>
    </font>
    <font>
      <b val="true"/>
      <sz val="13"/>
      <color theme="3"/>
      <name val="Calibri"/>
      <family val="2"/>
      <charset val="1"/>
    </font>
    <font>
      <b val="true"/>
      <sz val="9"/>
      <name val="Calibri"/>
      <family val="2"/>
      <charset val="1"/>
    </font>
    <font>
      <sz val="9"/>
      <color theme="1"/>
      <name val="Calibri"/>
      <family val="2"/>
      <charset val="1"/>
    </font>
    <font>
      <b val="true"/>
      <sz val="9"/>
      <color theme="1"/>
      <name val="Calibri"/>
      <family val="2"/>
      <charset val="1"/>
    </font>
    <font>
      <b val="true"/>
      <sz val="9"/>
      <color theme="0"/>
      <name val="Calibri"/>
      <family val="2"/>
      <charset val="1"/>
    </font>
    <font>
      <sz val="9"/>
      <name val="Calibri"/>
      <family val="2"/>
      <charset val="1"/>
    </font>
    <font>
      <b val="true"/>
      <sz val="9"/>
      <color rgb="FF0000FF"/>
      <name val="Calibri"/>
      <family val="2"/>
      <charset val="1"/>
    </font>
    <font>
      <u val="single"/>
      <sz val="11"/>
      <color theme="10"/>
      <name val="Calibri"/>
      <family val="2"/>
      <charset val="1"/>
    </font>
    <font>
      <sz val="10"/>
      <color theme="1"/>
      <name val="Calibri"/>
      <family val="2"/>
      <charset val="1"/>
    </font>
    <font>
      <b val="true"/>
      <sz val="10"/>
      <color theme="1"/>
      <name val="Calibri"/>
      <family val="2"/>
      <charset val="1"/>
    </font>
    <font>
      <b val="true"/>
      <sz val="14"/>
      <color theme="8" tint="-0.5"/>
      <name val="Calibri"/>
      <family val="2"/>
      <charset val="1"/>
    </font>
    <font>
      <b val="true"/>
      <sz val="11"/>
      <color theme="1"/>
      <name val="Calibri"/>
      <family val="2"/>
      <charset val="1"/>
    </font>
    <font>
      <sz val="12"/>
      <color theme="1"/>
      <name val="Calibri"/>
      <family val="2"/>
      <charset val="1"/>
    </font>
    <font>
      <b val="true"/>
      <sz val="12"/>
      <color theme="0"/>
      <name val="Calibri"/>
      <family val="2"/>
      <charset val="1"/>
    </font>
    <font>
      <b val="true"/>
      <sz val="10"/>
      <color theme="0"/>
      <name val="Calibri"/>
      <family val="2"/>
      <charset val="1"/>
    </font>
    <font>
      <b val="true"/>
      <sz val="11"/>
      <color theme="0"/>
      <name val="Calibri"/>
      <family val="2"/>
      <charset val="1"/>
    </font>
    <font>
      <sz val="11"/>
      <name val="Calibri"/>
      <family val="2"/>
      <charset val="1"/>
    </font>
    <font>
      <sz val="11"/>
      <color theme="0"/>
      <name val="Calibri"/>
      <family val="2"/>
      <charset val="1"/>
    </font>
    <font>
      <b val="true"/>
      <sz val="10"/>
      <name val="Calibri"/>
      <family val="2"/>
      <charset val="1"/>
    </font>
    <font>
      <b val="true"/>
      <sz val="11"/>
      <color theme="7" tint="0.7999"/>
      <name val="Calibri"/>
      <family val="2"/>
      <charset val="1"/>
    </font>
    <font>
      <b val="true"/>
      <sz val="12"/>
      <name val="Arial"/>
      <family val="2"/>
      <charset val="1"/>
    </font>
    <font>
      <b val="true"/>
      <sz val="12"/>
      <color theme="1"/>
      <name val="Arial"/>
      <family val="2"/>
      <charset val="1"/>
    </font>
    <font>
      <sz val="12"/>
      <color theme="0"/>
      <name val="Calibri"/>
      <family val="2"/>
      <charset val="1"/>
    </font>
    <font>
      <i val="true"/>
      <sz val="10"/>
      <color theme="0" tint="-0.25"/>
      <name val="Calibri"/>
      <family val="2"/>
      <charset val="1"/>
    </font>
    <font>
      <i val="true"/>
      <sz val="10"/>
      <color theme="0"/>
      <name val="Calibri"/>
      <family val="2"/>
      <charset val="1"/>
    </font>
    <font>
      <b val="true"/>
      <sz val="14"/>
      <color theme="0"/>
      <name val="Calibri"/>
      <family val="2"/>
      <charset val="1"/>
    </font>
    <font>
      <sz val="10"/>
      <name val="Calibri"/>
      <family val="2"/>
      <charset val="1"/>
    </font>
    <font>
      <sz val="10"/>
      <color theme="2" tint="-0.5"/>
      <name val="Calibri"/>
      <family val="2"/>
      <charset val="1"/>
    </font>
    <font>
      <sz val="10"/>
      <color theme="0"/>
      <name val="Calibri"/>
      <family val="2"/>
      <charset val="1"/>
    </font>
    <font>
      <sz val="12"/>
      <color rgb="FF808080"/>
      <name val="Calibri"/>
      <family val="2"/>
    </font>
    <font>
      <i val="true"/>
      <sz val="12"/>
      <color rgb="FF808080"/>
      <name val="Calibri"/>
      <family val="2"/>
    </font>
    <font>
      <b val="true"/>
      <sz val="12"/>
      <color rgb="FF000000"/>
      <name val="Calibri"/>
      <family val="2"/>
    </font>
    <font>
      <sz val="8"/>
      <color rgb="FF808080"/>
      <name val="Calibri"/>
      <family val="2"/>
    </font>
    <font>
      <sz val="9"/>
      <color rgb="FF808080"/>
      <name val="Calibri"/>
      <family val="2"/>
    </font>
    <font>
      <sz val="12"/>
      <color rgb="FF767171"/>
      <name val="Calibri"/>
      <family val="2"/>
    </font>
    <font>
      <i val="true"/>
      <sz val="12"/>
      <color rgb="FF767171"/>
      <name val="Calibri"/>
      <family val="2"/>
    </font>
    <font>
      <b val="true"/>
      <sz val="9"/>
      <color rgb="FF595959"/>
      <name val="Calibri"/>
      <family val="2"/>
    </font>
    <font>
      <b val="true"/>
      <sz val="10"/>
      <color rgb="FF808080"/>
      <name val="Calibri"/>
      <family val="2"/>
    </font>
    <font>
      <b val="true"/>
      <sz val="12"/>
      <color theme="1"/>
      <name val="Calibri"/>
      <family val="2"/>
      <charset val="1"/>
    </font>
    <font>
      <sz val="9"/>
      <color rgb="FF000000"/>
      <name val="Calibri"/>
      <family val="2"/>
      <charset val="1"/>
    </font>
    <font>
      <sz val="12"/>
      <color rgb="FF000000"/>
      <name val="Calibri"/>
      <family val="2"/>
    </font>
    <font>
      <i val="true"/>
      <sz val="12"/>
      <color rgb="FF000000"/>
      <name val="Calibri"/>
      <family val="2"/>
    </font>
    <font>
      <sz val="12"/>
      <color rgb="FF595959"/>
      <name val="Calibri"/>
      <family val="2"/>
    </font>
    <font>
      <i val="true"/>
      <sz val="12"/>
      <color rgb="FF595959"/>
      <name val="Calibri"/>
      <family val="2"/>
    </font>
    <font>
      <sz val="9"/>
      <color rgb="FF595959"/>
      <name val="Calibri"/>
      <family val="2"/>
    </font>
    <font>
      <sz val="11"/>
      <color rgb="FF404040"/>
      <name val="Calibri"/>
      <family val="2"/>
    </font>
    <font>
      <i val="true"/>
      <sz val="11"/>
      <color rgb="FF404040"/>
      <name val="Calibri"/>
      <family val="2"/>
    </font>
    <font>
      <b val="true"/>
      <sz val="12"/>
      <color rgb="FFFFFFFF"/>
      <name val="Calibri"/>
      <family val="2"/>
    </font>
    <font>
      <sz val="10"/>
      <color rgb="FF000000"/>
      <name val="Calibri"/>
      <family val="2"/>
    </font>
    <font>
      <sz val="8"/>
      <color theme="1"/>
      <name val="Calibri"/>
      <family val="2"/>
      <charset val="1"/>
    </font>
    <font>
      <b val="true"/>
      <sz val="11"/>
      <color rgb="FF9C5700"/>
      <name val="Calibri"/>
      <family val="2"/>
      <charset val="1"/>
    </font>
    <font>
      <sz val="11"/>
      <color rgb="FF9C5700"/>
      <name val="Calibri"/>
      <family val="2"/>
      <charset val="1"/>
    </font>
    <font>
      <b val="true"/>
      <sz val="8"/>
      <color theme="1"/>
      <name val="Calibri"/>
      <family val="2"/>
      <charset val="1"/>
    </font>
    <font>
      <b val="true"/>
      <sz val="8"/>
      <name val="Calibri"/>
      <family val="2"/>
      <charset val="1"/>
    </font>
    <font>
      <i val="true"/>
      <sz val="9"/>
      <color theme="1"/>
      <name val="Calibri"/>
      <family val="2"/>
      <charset val="1"/>
    </font>
    <font>
      <b val="true"/>
      <i val="true"/>
      <sz val="9"/>
      <color theme="0"/>
      <name val="Calibri"/>
      <family val="2"/>
      <charset val="1"/>
    </font>
    <font>
      <b val="true"/>
      <sz val="11"/>
      <color rgb="FF808080"/>
      <name val="Calibri"/>
      <family val="2"/>
    </font>
    <font>
      <b val="true"/>
      <i val="true"/>
      <sz val="11"/>
      <color rgb="FF808080"/>
      <name val="Calibri"/>
      <family val="2"/>
    </font>
    <font>
      <b val="true"/>
      <sz val="11"/>
      <color rgb="FF000000"/>
      <name val="Calibri"/>
      <family val="2"/>
    </font>
    <font>
      <b val="true"/>
      <sz val="16"/>
      <color theme="0"/>
      <name val="Calibri"/>
      <family val="2"/>
      <charset val="1"/>
    </font>
    <font>
      <sz val="8"/>
      <color theme="0"/>
      <name val="Calibri"/>
      <family val="2"/>
      <charset val="1"/>
    </font>
    <font>
      <b val="true"/>
      <sz val="11"/>
      <name val="Calibri"/>
      <family val="2"/>
      <charset val="1"/>
    </font>
    <font>
      <b val="true"/>
      <sz val="8"/>
      <color rgb="FF808080"/>
      <name val="Calibri"/>
      <family val="2"/>
    </font>
    <font>
      <b val="true"/>
      <sz val="10"/>
      <color rgb="FFFF0000"/>
      <name val="Calibri"/>
      <family val="2"/>
      <charset val="1"/>
    </font>
    <font>
      <b val="true"/>
      <sz val="11"/>
      <color rgb="FFFF0000"/>
      <name val="Calibri"/>
      <family val="2"/>
      <charset val="1"/>
    </font>
    <font>
      <sz val="11"/>
      <color rgb="FFFF0000"/>
      <name val="Calibri"/>
      <family val="2"/>
      <charset val="1"/>
    </font>
    <font>
      <b val="true"/>
      <sz val="9"/>
      <color rgb="FFFFFFFF"/>
      <name val="Calibri"/>
      <family val="2"/>
    </font>
    <font>
      <b val="true"/>
      <sz val="8"/>
      <color rgb="FF595959"/>
      <name val="Calibri"/>
      <family val="2"/>
    </font>
    <font>
      <b val="true"/>
      <i val="true"/>
      <sz val="10"/>
      <color theme="1"/>
      <name val="Calibri"/>
      <family val="2"/>
      <charset val="1"/>
    </font>
    <font>
      <b val="true"/>
      <i val="true"/>
      <sz val="11"/>
      <color theme="0"/>
      <name val="Calibri"/>
      <family val="2"/>
      <charset val="1"/>
    </font>
    <font>
      <b val="true"/>
      <sz val="10.5"/>
      <color rgb="FF595959"/>
      <name val="Calibri"/>
      <family val="2"/>
    </font>
    <font>
      <sz val="8"/>
      <color theme="1"/>
      <name val="Symbol"/>
      <family val="1"/>
      <charset val="2"/>
    </font>
    <font>
      <b val="true"/>
      <sz val="11"/>
      <color rgb="FF595959"/>
      <name val="Calibri"/>
      <family val="2"/>
    </font>
    <font>
      <b val="true"/>
      <sz val="9"/>
      <color rgb="FF808080"/>
      <name val="Calibri"/>
      <family val="2"/>
    </font>
    <font>
      <sz val="16"/>
      <color rgb="FF595959"/>
      <name val="Calibri"/>
      <family val="2"/>
    </font>
    <font>
      <i val="true"/>
      <sz val="16"/>
      <color rgb="FF595959"/>
      <name val="Calibri"/>
      <family val="2"/>
    </font>
    <font>
      <b val="true"/>
      <sz val="16"/>
      <color rgb="FF000000"/>
      <name val="Calibri"/>
      <family val="2"/>
    </font>
    <font>
      <sz val="18"/>
      <color rgb="FF595959"/>
      <name val="Calibri"/>
      <family val="2"/>
    </font>
    <font>
      <sz val="20"/>
      <color rgb="FF595959"/>
      <name val="Calibri"/>
      <family val="2"/>
    </font>
    <font>
      <b val="true"/>
      <sz val="16"/>
      <color rgb="FFFFFFFF"/>
      <name val="Calibri"/>
      <family val="2"/>
    </font>
    <font>
      <b val="true"/>
      <sz val="14"/>
      <color rgb="FF595959"/>
      <name val="Calibri"/>
      <family val="2"/>
    </font>
  </fonts>
  <fills count="31">
    <fill>
      <patternFill patternType="none"/>
    </fill>
    <fill>
      <patternFill patternType="gray125"/>
    </fill>
    <fill>
      <patternFill patternType="solid">
        <fgColor theme="7"/>
        <bgColor rgb="FFF6AB8A"/>
      </patternFill>
    </fill>
    <fill>
      <patternFill patternType="solid">
        <fgColor theme="4" tint="0.3999"/>
        <bgColor rgb="FF8FA3D8"/>
      </patternFill>
    </fill>
    <fill>
      <patternFill patternType="solid">
        <fgColor rgb="FFFFEB9C"/>
        <bgColor rgb="FFFFE8C6"/>
      </patternFill>
    </fill>
    <fill>
      <patternFill patternType="solid">
        <fgColor theme="0"/>
        <bgColor rgb="FFF2F2F2"/>
      </patternFill>
    </fill>
    <fill>
      <patternFill patternType="solid">
        <fgColor theme="2" tint="-0.1"/>
        <bgColor rgb="FFD9D9D9"/>
      </patternFill>
    </fill>
    <fill>
      <patternFill patternType="solid">
        <fgColor theme="3" tint="0.3999"/>
        <bgColor rgb="FF8FA3D8"/>
      </patternFill>
    </fill>
    <fill>
      <patternFill patternType="solid">
        <fgColor theme="9" tint="-0.25"/>
        <bgColor rgb="FF767171"/>
      </patternFill>
    </fill>
    <fill>
      <patternFill patternType="solid">
        <fgColor theme="5" tint="-0.5"/>
        <bgColor rgb="FF9C5700"/>
      </patternFill>
    </fill>
    <fill>
      <patternFill patternType="solid">
        <fgColor theme="9" tint="0.7999"/>
        <bgColor rgb="FFE7E6E6"/>
      </patternFill>
    </fill>
    <fill>
      <patternFill patternType="solid">
        <fgColor theme="5" tint="0.5999"/>
        <bgColor rgb="FFF9D0C2"/>
      </patternFill>
    </fill>
    <fill>
      <patternFill patternType="solid">
        <fgColor theme="2" tint="-0.5"/>
        <bgColor rgb="FF808080"/>
      </patternFill>
    </fill>
    <fill>
      <patternFill patternType="solid">
        <fgColor theme="2" tint="-0.75"/>
        <bgColor rgb="FF404040"/>
      </patternFill>
    </fill>
    <fill>
      <patternFill patternType="solid">
        <fgColor theme="2" tint="-0.9"/>
        <bgColor rgb="FF000000"/>
      </patternFill>
    </fill>
    <fill>
      <patternFill patternType="solid">
        <fgColor theme="8" tint="-0.5"/>
        <bgColor rgb="FF2F5798"/>
      </patternFill>
    </fill>
    <fill>
      <patternFill patternType="solid">
        <fgColor rgb="FF7030A0"/>
        <bgColor rgb="FF44546A"/>
      </patternFill>
    </fill>
    <fill>
      <patternFill patternType="solid">
        <fgColor theme="9" tint="-0.5"/>
        <bgColor rgb="FF404040"/>
      </patternFill>
    </fill>
    <fill>
      <patternFill patternType="solid">
        <fgColor theme="8" tint="0.5999"/>
        <bgColor rgb="FFBDC7E5"/>
      </patternFill>
    </fill>
    <fill>
      <patternFill patternType="solid">
        <fgColor theme="3" tint="0.7999"/>
        <bgColor rgb="FFDCDCDC"/>
      </patternFill>
    </fill>
    <fill>
      <patternFill patternType="solid">
        <fgColor theme="6" tint="0.7999"/>
        <bgColor rgb="FFF2F2F2"/>
      </patternFill>
    </fill>
    <fill>
      <patternFill patternType="solid">
        <fgColor theme="4" tint="0.7999"/>
        <bgColor rgb="FFDEEBF7"/>
      </patternFill>
    </fill>
    <fill>
      <patternFill patternType="solid">
        <fgColor theme="8" tint="-0.25"/>
        <bgColor rgb="FF4473C4"/>
      </patternFill>
    </fill>
    <fill>
      <patternFill patternType="solid">
        <fgColor theme="7" tint="-0.25"/>
        <bgColor rgb="FFEC7B2F"/>
      </patternFill>
    </fill>
    <fill>
      <patternFill patternType="solid">
        <fgColor theme="5" tint="0.7999"/>
        <bgColor rgb="FFFFE8C6"/>
      </patternFill>
    </fill>
    <fill>
      <patternFill patternType="solid">
        <fgColor theme="7" tint="-0.5"/>
        <bgColor rgb="FF9C5700"/>
      </patternFill>
    </fill>
    <fill>
      <patternFill patternType="solid">
        <fgColor theme="7" tint="0.7999"/>
        <bgColor rgb="FFFFE8C6"/>
      </patternFill>
    </fill>
    <fill>
      <patternFill patternType="solid">
        <fgColor theme="2"/>
        <bgColor rgb="FFEDEDED"/>
      </patternFill>
    </fill>
    <fill>
      <patternFill patternType="solid">
        <fgColor theme="8" tint="0.3999"/>
        <bgColor rgb="FFA2B7E1"/>
      </patternFill>
    </fill>
    <fill>
      <patternFill patternType="solid">
        <fgColor theme="8" tint="0.7999"/>
        <bgColor rgb="FFDAE3F3"/>
      </patternFill>
    </fill>
    <fill>
      <patternFill patternType="solid">
        <fgColor theme="9" tint="0.3999"/>
        <bgColor rgb="FFBFBFBF"/>
      </patternFill>
    </fill>
  </fills>
  <borders count="27">
    <border diagonalUp="false" diagonalDown="false">
      <left/>
      <right/>
      <top/>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style="thin">
        <color theme="0"/>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right style="thin">
        <color theme="0"/>
      </right>
      <top style="thin">
        <color theme="0"/>
      </top>
      <bottom style="thin">
        <color theme="0"/>
      </bottom>
      <diagonal/>
    </border>
    <border diagonalUp="false" diagonalDown="false">
      <left/>
      <right/>
      <top/>
      <bottom style="thick">
        <color theme="4" tint="-0.5"/>
      </bottom>
      <diagonal/>
    </border>
    <border diagonalUp="false" diagonalDown="false">
      <left style="thin">
        <color theme="0"/>
      </left>
      <right/>
      <top/>
      <bottom/>
      <diagonal/>
    </border>
    <border diagonalUp="false" diagonalDown="false">
      <left style="thin">
        <color theme="0"/>
      </left>
      <right style="thin">
        <color theme="0"/>
      </right>
      <top style="thin">
        <color theme="0"/>
      </top>
      <bottom/>
      <diagonal/>
    </border>
    <border diagonalUp="false" diagonalDown="false">
      <left style="thin">
        <color theme="0"/>
      </left>
      <right style="thin">
        <color theme="0"/>
      </right>
      <top style="thin">
        <color theme="0"/>
      </top>
      <bottom style="thin"/>
      <diagonal/>
    </border>
    <border diagonalUp="false" diagonalDown="false">
      <left style="thin">
        <color theme="0"/>
      </left>
      <right/>
      <top style="thin">
        <color theme="0"/>
      </top>
      <bottom/>
      <diagonal/>
    </border>
    <border diagonalUp="false" diagonalDown="false">
      <left style="thin">
        <color theme="0"/>
      </left>
      <right/>
      <top style="thin">
        <color theme="0"/>
      </top>
      <bottom style="thin">
        <color theme="0"/>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color theme="0"/>
      </left>
      <right style="thin"/>
      <top style="thin"/>
      <bottom style="thin">
        <color theme="0"/>
      </bottom>
      <diagonal/>
    </border>
    <border diagonalUp="false" diagonalDown="false">
      <left style="thin">
        <color theme="0"/>
      </left>
      <right style="thin"/>
      <top style="thin">
        <color theme="0"/>
      </top>
      <bottom style="thin">
        <color theme="0"/>
      </bottom>
      <diagonal/>
    </border>
    <border diagonalUp="false" diagonalDown="false">
      <left style="thin">
        <color theme="0"/>
      </left>
      <right style="thin"/>
      <top style="thin">
        <color theme="0"/>
      </top>
      <bottom style="thin"/>
      <diagonal/>
    </border>
    <border diagonalUp="false" diagonalDown="false">
      <left style="thin">
        <color theme="0"/>
      </left>
      <right style="thin">
        <color theme="0"/>
      </right>
      <top/>
      <bottom/>
      <diagonal/>
    </border>
    <border diagonalUp="false" diagonalDown="false">
      <left/>
      <right style="thin"/>
      <top/>
      <bottom/>
      <diagonal/>
    </border>
    <border diagonalUp="false" diagonalDown="false">
      <left style="thin">
        <color theme="0" tint="-0.05"/>
      </left>
      <right style="thin">
        <color theme="0" tint="-0.05"/>
      </right>
      <top/>
      <bottom style="thin">
        <color theme="0" tint="-0.05"/>
      </bottom>
      <diagonal/>
    </border>
    <border diagonalUp="false" diagonalDown="false">
      <left/>
      <right style="thin"/>
      <top/>
      <bottom style="thin"/>
      <diagonal/>
    </border>
    <border diagonalUp="false" diagonalDown="false">
      <left/>
      <right style="thin">
        <color theme="0"/>
      </right>
      <top/>
      <bottom style="thin">
        <color theme="0"/>
      </bottom>
      <diagonal/>
    </border>
    <border diagonalUp="false" diagonalDown="false">
      <left style="thin"/>
      <right style="thin"/>
      <top style="thin"/>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left>
      <right style="thin">
        <color theme="0"/>
      </right>
      <top/>
      <bottom style="thin">
        <color theme="0"/>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1" applyFont="true" applyBorder="true" applyAlignment="true" applyProtection="true">
      <alignment horizontal="general" vertical="bottom" textRotation="0" wrapText="false" indent="0" shrinkToFit="false"/>
      <protection locked="true" hidden="false"/>
    </xf>
    <xf numFmtId="164" fontId="9" fillId="0" borderId="2" applyFont="true" applyBorder="true" applyAlignment="true" applyProtection="true">
      <alignment horizontal="general" vertical="bottom" textRotation="0" wrapText="false" indent="0" shrinkToFit="false"/>
      <protection locked="true" hidden="false"/>
    </xf>
    <xf numFmtId="164" fontId="26" fillId="2" borderId="0" applyFont="true" applyBorder="true" applyAlignment="true" applyProtection="true">
      <alignment horizontal="general" vertical="bottom" textRotation="0" wrapText="false" indent="0" shrinkToFit="false"/>
      <protection locked="true" hidden="false"/>
    </xf>
    <xf numFmtId="164" fontId="0" fillId="3" borderId="0" applyFont="true" applyBorder="true" applyAlignment="true" applyProtection="true">
      <alignment horizontal="general" vertical="bottom" textRotation="0" wrapText="false" indent="0" shrinkToFit="false"/>
      <protection locked="true" hidden="false"/>
    </xf>
    <xf numFmtId="164" fontId="60" fillId="4" borderId="0" applyFont="true" applyBorder="true" applyAlignment="true" applyProtection="true">
      <alignment horizontal="general" vertical="bottom" textRotation="0" wrapText="false" indent="0" shrinkToFit="false"/>
      <protection locked="true" hidden="false"/>
    </xf>
  </cellStyleXfs>
  <cellXfs count="2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1" xfId="22"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2" xfId="23" applyFont="true" applyBorder="true" applyAlignment="true" applyProtection="false">
      <alignment horizontal="left" vertical="bottom" textRotation="0" wrapText="false" indent="0" shrinkToFit="false"/>
      <protection locked="true" hidden="false"/>
    </xf>
    <xf numFmtId="164" fontId="9" fillId="0" borderId="2" xfId="23"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10" fillId="0" borderId="3" xfId="0" applyFont="true" applyBorder="true" applyAlignment="true" applyProtection="false">
      <alignment horizontal="left" vertical="top" textRotation="0" wrapText="true" indent="0" shrinkToFit="false"/>
      <protection locked="true" hidden="false"/>
    </xf>
    <xf numFmtId="164" fontId="11" fillId="0" borderId="4"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10" fillId="5" borderId="3" xfId="0" applyFont="true" applyBorder="true" applyAlignment="true" applyProtection="false">
      <alignment horizontal="center" vertical="bottom" textRotation="0" wrapText="false" indent="0" shrinkToFit="false"/>
      <protection locked="true" hidden="false"/>
    </xf>
    <xf numFmtId="164" fontId="12" fillId="6" borderId="5" xfId="0" applyFont="true" applyBorder="true" applyAlignment="true" applyProtection="false">
      <alignment horizontal="general" vertical="top" textRotation="0" wrapText="true" indent="0" shrinkToFit="false"/>
      <protection locked="true" hidden="false"/>
    </xf>
    <xf numFmtId="164" fontId="13" fillId="7" borderId="6" xfId="0" applyFont="true" applyBorder="true" applyAlignment="true" applyProtection="false">
      <alignment horizontal="general" vertical="top" textRotation="0" wrapText="true" indent="0" shrinkToFit="false"/>
      <protection locked="true" hidden="false"/>
    </xf>
    <xf numFmtId="164" fontId="10" fillId="5" borderId="3" xfId="0" applyFont="true" applyBorder="true" applyAlignment="true" applyProtection="false">
      <alignment horizontal="center" vertical="center" textRotation="0" wrapText="false" indent="0" shrinkToFit="false"/>
      <protection locked="true" hidden="false"/>
    </xf>
    <xf numFmtId="164" fontId="14" fillId="5" borderId="3" xfId="0" applyFont="true" applyBorder="true" applyAlignment="true" applyProtection="false">
      <alignment horizontal="general" vertical="bottom" textRotation="0" wrapText="true" indent="0" shrinkToFit="false"/>
      <protection locked="true" hidden="false"/>
    </xf>
    <xf numFmtId="164" fontId="11" fillId="5" borderId="7" xfId="0" applyFont="true" applyBorder="true" applyAlignment="true" applyProtection="false">
      <alignment horizontal="general" vertical="top" textRotation="0" wrapText="true" indent="0" shrinkToFit="false"/>
      <protection locked="true" hidden="false"/>
    </xf>
    <xf numFmtId="164" fontId="13" fillId="8" borderId="5" xfId="0" applyFont="true" applyBorder="true" applyAlignment="true" applyProtection="false">
      <alignment horizontal="general" vertical="top" textRotation="0" wrapText="true" indent="0" shrinkToFit="false"/>
      <protection locked="true" hidden="false"/>
    </xf>
    <xf numFmtId="164" fontId="13" fillId="9" borderId="6" xfId="0" applyFont="true" applyBorder="true" applyAlignment="true" applyProtection="false">
      <alignment horizontal="general" vertical="top" textRotation="0" wrapText="true" indent="0" shrinkToFit="false"/>
      <protection locked="true" hidden="false"/>
    </xf>
    <xf numFmtId="164" fontId="15" fillId="5" borderId="3" xfId="20" applyFont="true" applyBorder="true" applyAlignment="true" applyProtection="false">
      <alignment horizontal="center" vertical="center" textRotation="0" wrapText="false" indent="0" shrinkToFit="false"/>
      <protection locked="true" hidden="false"/>
    </xf>
    <xf numFmtId="164" fontId="10" fillId="5" borderId="3" xfId="0" applyFont="true" applyBorder="true" applyAlignment="true" applyProtection="false">
      <alignment horizontal="general" vertical="center" textRotation="0" wrapText="true" indent="0" shrinkToFit="false"/>
      <protection locked="true" hidden="false"/>
    </xf>
    <xf numFmtId="164" fontId="14" fillId="10" borderId="5" xfId="0" applyFont="true" applyBorder="true" applyAlignment="true" applyProtection="false">
      <alignment horizontal="general" vertical="top" textRotation="0" wrapText="true" indent="0" shrinkToFit="false"/>
      <protection locked="true" hidden="false"/>
    </xf>
    <xf numFmtId="164" fontId="14" fillId="11" borderId="6"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4" fillId="10" borderId="0" xfId="0" applyFont="true" applyBorder="false" applyAlignment="true" applyProtection="false">
      <alignment horizontal="general" vertical="top" textRotation="0" wrapText="true" indent="0" shrinkToFit="false"/>
      <protection locked="true" hidden="false"/>
    </xf>
    <xf numFmtId="164" fontId="14" fillId="11" borderId="0" xfId="0" applyFont="true" applyBorder="false" applyAlignment="true" applyProtection="false">
      <alignment horizontal="general" vertical="top" textRotation="0" wrapText="true" indent="0" shrinkToFit="false"/>
      <protection locked="true" hidden="false"/>
    </xf>
    <xf numFmtId="164" fontId="10" fillId="5" borderId="3" xfId="0" applyFont="true" applyBorder="tru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9" fillId="5" borderId="8" xfId="23"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22" fillId="12" borderId="6"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13" borderId="6" xfId="0" applyFont="true" applyBorder="true" applyAlignment="true" applyProtection="false">
      <alignment horizontal="center" vertical="center" textRotation="0" wrapText="false" indent="0" shrinkToFit="false"/>
      <protection locked="true" hidden="false"/>
    </xf>
    <xf numFmtId="164" fontId="22" fillId="14" borderId="9" xfId="0" applyFont="true" applyBorder="true" applyAlignment="true" applyProtection="false">
      <alignment horizontal="center" vertical="center" textRotation="0" wrapText="false" indent="0" shrinkToFit="false"/>
      <protection locked="true" hidden="false"/>
    </xf>
    <xf numFmtId="164" fontId="22" fillId="15" borderId="0" xfId="0" applyFont="true" applyBorder="false" applyAlignment="true" applyProtection="false">
      <alignment horizontal="right" vertical="center" textRotation="0" wrapText="true" indent="0" shrinkToFit="false"/>
      <protection locked="true" hidden="false"/>
    </xf>
    <xf numFmtId="164" fontId="23" fillId="15" borderId="6" xfId="20" applyFont="true" applyBorder="true" applyAlignment="true" applyProtection="false">
      <alignment horizontal="center" vertical="center" textRotation="0" wrapText="true" indent="0" shrinkToFit="false"/>
      <protection locked="true" hidden="false"/>
    </xf>
    <xf numFmtId="164" fontId="23" fillId="15" borderId="6" xfId="0" applyFont="true" applyBorder="true" applyAlignment="true" applyProtection="false">
      <alignment horizontal="center" vertical="center" textRotation="0" wrapText="true" indent="0" shrinkToFit="false"/>
      <protection locked="true" hidden="false"/>
    </xf>
    <xf numFmtId="164" fontId="23" fillId="0" borderId="6" xfId="0" applyFont="true" applyBorder="true" applyAlignment="false" applyProtection="false">
      <alignment horizontal="general" vertical="bottom" textRotation="0" wrapText="false" indent="0" shrinkToFit="false"/>
      <protection locked="true" hidden="false"/>
    </xf>
    <xf numFmtId="164" fontId="24" fillId="12" borderId="6"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13" borderId="6" xfId="0" applyFont="true" applyBorder="true" applyAlignment="true" applyProtection="false">
      <alignment horizontal="center" vertical="center" textRotation="0" wrapText="true" indent="0" shrinkToFit="false"/>
      <protection locked="true" hidden="false"/>
    </xf>
    <xf numFmtId="164" fontId="23" fillId="16" borderId="10" xfId="0" applyFont="true" applyBorder="true" applyAlignment="true" applyProtection="false">
      <alignment horizontal="center" vertical="center" textRotation="0" wrapText="true" indent="0" shrinkToFit="false"/>
      <protection locked="true" hidden="false"/>
    </xf>
    <xf numFmtId="164" fontId="23" fillId="16" borderId="11" xfId="0" applyFont="true" applyBorder="true" applyAlignment="true" applyProtection="false">
      <alignment horizontal="center" vertical="center" textRotation="0" wrapText="false" indent="0" shrinkToFit="false"/>
      <protection locked="true" hidden="false"/>
    </xf>
    <xf numFmtId="164" fontId="24" fillId="14" borderId="6" xfId="0" applyFont="true" applyBorder="true" applyAlignment="true" applyProtection="false">
      <alignment horizontal="center" vertical="center" textRotation="0" wrapText="true" indent="0" shrinkToFit="false"/>
      <protection locked="true" hidden="false"/>
    </xf>
    <xf numFmtId="164" fontId="23" fillId="14" borderId="6" xfId="0" applyFont="true" applyBorder="true" applyAlignment="true" applyProtection="false">
      <alignment horizontal="center" vertical="center" textRotation="0" wrapText="true" indent="0" shrinkToFit="false"/>
      <protection locked="true" hidden="false"/>
    </xf>
    <xf numFmtId="164" fontId="23" fillId="16" borderId="6" xfId="0" applyFont="true" applyBorder="true" applyAlignment="true" applyProtection="false">
      <alignment horizontal="center" vertical="center" textRotation="0" wrapText="true" indent="0" shrinkToFit="false"/>
      <protection locked="true" hidden="false"/>
    </xf>
    <xf numFmtId="164" fontId="23" fillId="16" borderId="12" xfId="0" applyFont="true" applyBorder="true" applyAlignment="true" applyProtection="false">
      <alignment horizontal="center" vertical="center" textRotation="0" wrapText="false" indent="0" shrinkToFit="false"/>
      <protection locked="true" hidden="false"/>
    </xf>
    <xf numFmtId="164" fontId="23" fillId="17" borderId="13" xfId="0" applyFont="true" applyBorder="true" applyAlignment="true" applyProtection="false">
      <alignment horizontal="right" vertical="center" textRotation="0" wrapText="true" indent="0" shrinkToFit="false"/>
      <protection locked="true" hidden="false"/>
    </xf>
    <xf numFmtId="164" fontId="23" fillId="17" borderId="6" xfId="0" applyFont="tru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23" fillId="17" borderId="6" xfId="0" applyFont="true" applyBorder="true" applyAlignment="true" applyProtection="false">
      <alignment horizontal="right" vertical="center" textRotation="0" wrapText="true" indent="0" shrinkToFit="false"/>
      <protection locked="true" hidden="false"/>
    </xf>
    <xf numFmtId="164" fontId="25" fillId="18" borderId="14" xfId="24" applyFont="true" applyBorder="true" applyAlignment="true" applyProtection="false">
      <alignment horizontal="left" vertical="center" textRotation="0" wrapText="true" indent="0" shrinkToFit="false"/>
      <protection locked="true" hidden="false"/>
    </xf>
    <xf numFmtId="165" fontId="27" fillId="19" borderId="6" xfId="0" applyFont="true" applyBorder="true" applyAlignment="true" applyProtection="false">
      <alignment horizontal="center" vertical="center" textRotation="0" wrapText="false" indent="0" shrinkToFit="false"/>
      <protection locked="true" hidden="false"/>
    </xf>
    <xf numFmtId="166" fontId="17" fillId="0" borderId="3" xfId="0" applyFont="true" applyBorder="true" applyAlignment="true" applyProtection="false">
      <alignment horizontal="center" vertical="center" textRotation="0" wrapText="false" indent="0" shrinkToFit="false"/>
      <protection locked="true" hidden="false"/>
    </xf>
    <xf numFmtId="166" fontId="18" fillId="20" borderId="3" xfId="0" applyFont="true" applyBorder="true" applyAlignment="true" applyProtection="false">
      <alignment horizontal="center" vertical="center" textRotation="0" wrapText="false" indent="0" shrinkToFit="false"/>
      <protection locked="true" hidden="false"/>
    </xf>
    <xf numFmtId="167" fontId="17" fillId="0" borderId="3" xfId="0" applyFont="true" applyBorder="true" applyAlignment="true" applyProtection="false">
      <alignment horizontal="center" vertical="bottom" textRotation="0" wrapText="false" indent="0" shrinkToFit="false"/>
      <protection locked="true" hidden="false"/>
    </xf>
    <xf numFmtId="167" fontId="18" fillId="20" borderId="3" xfId="0" applyFont="true" applyBorder="true" applyAlignment="true" applyProtection="false">
      <alignment horizontal="center" vertical="center" textRotation="0" wrapText="false" indent="0" shrinkToFit="false"/>
      <protection locked="true" hidden="false"/>
    </xf>
    <xf numFmtId="165" fontId="27" fillId="5" borderId="3" xfId="0" applyFont="true" applyBorder="true" applyAlignment="true" applyProtection="true">
      <alignment horizontal="center" vertical="center" textRotation="0" wrapText="false" indent="0" shrinkToFit="false"/>
      <protection locked="false" hidden="false"/>
    </xf>
    <xf numFmtId="164" fontId="11" fillId="19" borderId="3" xfId="0" applyFont="true" applyBorder="true" applyAlignment="true" applyProtection="true">
      <alignment horizontal="left" vertical="center" textRotation="0" wrapText="true" indent="0" shrinkToFit="false"/>
      <protection locked="false" hidden="false"/>
    </xf>
    <xf numFmtId="167" fontId="18" fillId="21" borderId="15" xfId="0" applyFont="true" applyBorder="true" applyAlignment="true" applyProtection="false">
      <alignment horizontal="center" vertical="center" textRotation="0" wrapText="false" indent="0" shrinkToFit="false"/>
      <protection locked="true" hidden="false"/>
    </xf>
    <xf numFmtId="167" fontId="18" fillId="19" borderId="16" xfId="0" applyFont="true" applyBorder="true" applyAlignment="true" applyProtection="false">
      <alignment horizontal="right" vertical="center" textRotation="0" wrapText="false" indent="0" shrinkToFit="false"/>
      <protection locked="true" hidden="false"/>
    </xf>
    <xf numFmtId="167" fontId="18" fillId="5" borderId="3" xfId="0" applyFont="true" applyBorder="true" applyAlignment="true" applyProtection="true">
      <alignment horizontal="right" vertical="center" textRotation="0" wrapText="false" indent="0" shrinkToFit="false"/>
      <protection locked="false" hidden="false"/>
    </xf>
    <xf numFmtId="164" fontId="18" fillId="19" borderId="3" xfId="0" applyFont="true" applyBorder="true" applyAlignment="true" applyProtection="true">
      <alignment horizontal="left" vertical="center" textRotation="0" wrapText="true" indent="0" shrinkToFit="false"/>
      <protection locked="false" hidden="false"/>
    </xf>
    <xf numFmtId="167" fontId="18" fillId="19" borderId="17" xfId="0" applyFont="true" applyBorder="true" applyAlignment="true" applyProtection="false">
      <alignment horizontal="right" vertical="center" textRotation="0" wrapText="false" indent="0" shrinkToFit="false"/>
      <protection locked="true" hidden="false"/>
    </xf>
    <xf numFmtId="164" fontId="26" fillId="22" borderId="14" xfId="24" applyFont="true" applyBorder="true" applyAlignment="true" applyProtection="false">
      <alignment horizontal="left" vertical="center" textRotation="0" wrapText="true" indent="0" shrinkToFit="false"/>
      <protection locked="true" hidden="false"/>
    </xf>
    <xf numFmtId="167" fontId="18" fillId="19" borderId="18" xfId="0" applyFont="true" applyBorder="true" applyAlignment="true" applyProtection="false">
      <alignment horizontal="right" vertical="center" textRotation="0" wrapText="false" indent="0" shrinkToFit="false"/>
      <protection locked="true" hidden="false"/>
    </xf>
    <xf numFmtId="168" fontId="17" fillId="0" borderId="3" xfId="0" applyFont="true" applyBorder="true" applyAlignment="true" applyProtection="false">
      <alignment horizontal="center" vertical="bottom" textRotation="0" wrapText="false" indent="0" shrinkToFit="false"/>
      <protection locked="true" hidden="false"/>
    </xf>
    <xf numFmtId="168" fontId="18" fillId="0" borderId="3" xfId="0" applyFont="true" applyBorder="true" applyAlignment="true" applyProtection="false">
      <alignment horizontal="center" vertical="bottom" textRotation="0" wrapText="false" indent="0" shrinkToFit="false"/>
      <protection locked="true" hidden="false"/>
    </xf>
    <xf numFmtId="167" fontId="28" fillId="23" borderId="6"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9" fillId="21" borderId="19" xfId="20" applyFont="true" applyBorder="true" applyAlignment="true" applyProtection="false">
      <alignment horizontal="right" vertical="center" textRotation="0" wrapText="true" indent="0" shrinkToFit="false"/>
      <protection locked="true" hidden="false"/>
    </xf>
    <xf numFmtId="164" fontId="29" fillId="21" borderId="9" xfId="20" applyFont="true" applyBorder="true" applyAlignment="true" applyProtection="false">
      <alignment horizontal="right" vertical="center" textRotation="0" wrapText="true" indent="0" shrinkToFit="false"/>
      <protection locked="true" hidden="false"/>
    </xf>
    <xf numFmtId="164" fontId="3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true" applyAlignment="true" applyProtection="false">
      <alignment horizontal="left" vertical="center"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true" applyAlignment="true" applyProtection="false">
      <alignment horizontal="center" vertical="center" textRotation="0" wrapText="false" indent="0" shrinkToFit="false"/>
      <protection locked="true" hidden="false"/>
    </xf>
    <xf numFmtId="164" fontId="23" fillId="8" borderId="20" xfId="0" applyFont="true" applyBorder="true" applyAlignment="true" applyProtection="false">
      <alignment horizontal="left" vertical="center" textRotation="0" wrapText="true" indent="0" shrinkToFit="false"/>
      <protection locked="true" hidden="false"/>
    </xf>
    <xf numFmtId="164" fontId="23" fillId="8" borderId="3"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7" fillId="10" borderId="3" xfId="0" applyFont="true" applyBorder="true" applyAlignment="true" applyProtection="false">
      <alignment horizontal="left" vertical="center" textRotation="0" wrapText="true" indent="0" shrinkToFit="false"/>
      <protection locked="true" hidden="false"/>
    </xf>
    <xf numFmtId="166" fontId="20" fillId="0" borderId="15" xfId="0" applyFont="true" applyBorder="true" applyAlignment="true" applyProtection="true">
      <alignment horizontal="center" vertical="center" textRotation="0" wrapText="false" indent="0" shrinkToFit="false"/>
      <protection locked="false" hidden="false"/>
    </xf>
    <xf numFmtId="166" fontId="24" fillId="10" borderId="3" xfId="0" applyFont="true" applyBorder="true" applyAlignment="true" applyProtection="false">
      <alignment horizontal="center" vertical="center" textRotation="0" wrapText="false" indent="0" shrinkToFit="false"/>
      <protection locked="true" hidden="false"/>
    </xf>
    <xf numFmtId="166" fontId="20" fillId="0" borderId="3" xfId="0" applyFont="true" applyBorder="true" applyAlignment="true" applyProtection="true">
      <alignment horizontal="center" vertical="center" textRotation="0" wrapText="false" indent="0" shrinkToFit="false"/>
      <protection locked="false" hidden="false"/>
    </xf>
    <xf numFmtId="166" fontId="20" fillId="0" borderId="3" xfId="19" applyFont="true" applyBorder="true" applyAlignment="true" applyProtection="true">
      <alignment horizontal="center" vertical="center" textRotation="0" wrapText="false" indent="0" shrinkToFit="false"/>
      <protection locked="false" hidden="false"/>
    </xf>
    <xf numFmtId="166" fontId="24" fillId="10" borderId="3" xfId="19" applyFont="tru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6" xfId="0" applyFont="true" applyBorder="true" applyAlignment="true" applyProtection="false">
      <alignment horizontal="general" vertical="top" textRotation="0" wrapText="false" indent="0" shrinkToFit="false"/>
      <protection locked="true" hidden="false"/>
    </xf>
    <xf numFmtId="170" fontId="33" fillId="0" borderId="6" xfId="0" applyFont="true" applyBorder="true" applyAlignment="true" applyProtection="false">
      <alignment horizontal="right" vertical="bottom" textRotation="0" wrapText="false" indent="0" shrinkToFit="false"/>
      <protection locked="true" hidden="false"/>
    </xf>
    <xf numFmtId="170" fontId="33" fillId="0" borderId="0" xfId="0" applyFont="true" applyBorder="false" applyAlignment="true" applyProtection="false">
      <alignment horizontal="right" vertical="bottom" textRotation="0" wrapText="false" indent="0" shrinkToFit="false"/>
      <protection locked="true" hidden="false"/>
    </xf>
    <xf numFmtId="164" fontId="22" fillId="9" borderId="0" xfId="0" applyFont="true" applyBorder="tru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24" fillId="9" borderId="6" xfId="25"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3" fillId="9" borderId="6" xfId="0" applyFont="true" applyBorder="true" applyAlignment="true" applyProtection="false">
      <alignment horizontal="left" vertical="center" textRotation="0" wrapText="true" indent="0" shrinkToFit="false"/>
      <protection locked="true" hidden="false"/>
    </xf>
    <xf numFmtId="164" fontId="23" fillId="9" borderId="6"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35" fillId="18" borderId="6" xfId="24" applyFont="true" applyBorder="true" applyAlignment="true" applyProtection="false">
      <alignment horizontal="left" vertical="center" textRotation="0" wrapText="false" indent="0" shrinkToFit="false"/>
      <protection locked="true" hidden="false"/>
    </xf>
    <xf numFmtId="167" fontId="35" fillId="24" borderId="6" xfId="0" applyFont="true" applyBorder="true" applyAlignment="true" applyProtection="false">
      <alignment horizontal="center" vertical="bottom" textRotation="0" wrapText="false" indent="0" shrinkToFit="false"/>
      <protection locked="true" hidden="false"/>
    </xf>
    <xf numFmtId="167" fontId="36" fillId="24" borderId="6" xfId="0" applyFont="true" applyBorder="true" applyAlignment="true" applyProtection="false">
      <alignment horizontal="center" vertical="bottom" textRotation="0" wrapText="false" indent="0" shrinkToFit="false"/>
      <protection locked="true" hidden="false"/>
    </xf>
    <xf numFmtId="165" fontId="27" fillId="24" borderId="6"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4" fontId="37" fillId="22" borderId="6" xfId="24" applyFont="true" applyBorder="true" applyAlignment="true" applyProtection="false">
      <alignment horizontal="left" vertical="center" textRotation="0" wrapText="false" indent="0" shrinkToFit="false"/>
      <protection locked="true" hidden="false"/>
    </xf>
    <xf numFmtId="164" fontId="22" fillId="25" borderId="6" xfId="0" applyFont="true" applyBorder="true" applyAlignment="true" applyProtection="false">
      <alignment horizontal="center" vertical="center" textRotation="0" wrapText="true" indent="0" shrinkToFit="false"/>
      <protection locked="true" hidden="false"/>
    </xf>
    <xf numFmtId="164" fontId="23" fillId="14" borderId="6" xfId="24" applyFont="true" applyBorder="true" applyAlignment="true" applyProtection="false">
      <alignment horizontal="center" vertical="center" textRotation="0" wrapText="false" indent="0" shrinkToFit="false"/>
      <protection locked="true" hidden="false"/>
    </xf>
    <xf numFmtId="168" fontId="0" fillId="26" borderId="21" xfId="0" applyFont="true" applyBorder="true" applyAlignment="true" applyProtection="false">
      <alignment horizontal="center" vertical="bottom" textRotation="0" wrapText="false" indent="0" shrinkToFit="false"/>
      <protection locked="true" hidden="false"/>
    </xf>
    <xf numFmtId="164" fontId="23" fillId="12" borderId="6" xfId="24" applyFont="true" applyBorder="true" applyAlignment="true" applyProtection="false">
      <alignment horizontal="center" vertical="center" textRotation="0" wrapText="false" indent="0" shrinkToFit="false"/>
      <protection locked="true" hidden="false"/>
    </xf>
    <xf numFmtId="164" fontId="23" fillId="8" borderId="3" xfId="0" applyFont="true" applyBorder="true" applyAlignment="true" applyProtection="false">
      <alignment horizontal="left" vertical="center" textRotation="0" wrapText="true" indent="0" shrinkToFit="false"/>
      <protection locked="true" hidden="false"/>
    </xf>
    <xf numFmtId="164" fontId="23" fillId="8" borderId="6" xfId="0" applyFont="true" applyBorder="true" applyAlignment="true" applyProtection="false">
      <alignment horizontal="center" vertical="center" textRotation="0" wrapText="tru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48" fillId="10" borderId="3" xfId="21" applyFont="true" applyBorder="true" applyAlignment="true" applyProtection="false">
      <alignment horizontal="left" vertical="center" textRotation="0" wrapText="true" indent="0" shrinkToFit="false"/>
      <protection locked="true" hidden="false"/>
    </xf>
    <xf numFmtId="164" fontId="20" fillId="0" borderId="3" xfId="0" applyFont="true" applyBorder="true" applyAlignment="true" applyProtection="false">
      <alignment horizontal="center" vertical="center" textRotation="0" wrapText="false" indent="0" shrinkToFit="false"/>
      <protection locked="true" hidden="false"/>
    </xf>
    <xf numFmtId="166" fontId="22" fillId="10" borderId="6" xfId="0" applyFont="true" applyBorder="true" applyAlignment="true" applyProtection="false">
      <alignment horizontal="center" vertical="center" textRotation="0" wrapText="false" indent="0" shrinkToFit="false"/>
      <protection locked="true" hidden="false"/>
    </xf>
    <xf numFmtId="166" fontId="22" fillId="10" borderId="6" xfId="19"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general" vertical="top" textRotation="0" wrapText="false" indent="0" shrinkToFit="false"/>
      <protection locked="true" hidden="false"/>
    </xf>
    <xf numFmtId="164" fontId="32" fillId="0" borderId="0" xfId="0" applyFont="true" applyBorder="false" applyAlignment="true" applyProtection="false">
      <alignment horizontal="general" vertical="top" textRotation="0" wrapText="false" indent="0" shrinkToFit="false"/>
      <protection locked="true" hidden="false"/>
    </xf>
    <xf numFmtId="170" fontId="32" fillId="0" borderId="0" xfId="0" applyFont="true" applyBorder="false" applyAlignment="true" applyProtection="false">
      <alignment horizontal="right" vertical="bottom" textRotation="0" wrapText="false" indent="0" shrinkToFit="false"/>
      <protection locked="true" hidden="false"/>
    </xf>
    <xf numFmtId="164" fontId="24" fillId="9" borderId="6" xfId="25" applyFont="true" applyBorder="true" applyAlignment="true" applyProtection="false">
      <alignment horizontal="left" vertical="center" textRotation="0" wrapText="true" indent="0" shrinkToFit="false"/>
      <protection locked="true" hidden="false"/>
    </xf>
    <xf numFmtId="164" fontId="25" fillId="18" borderId="6" xfId="24" applyFont="true" applyBorder="true" applyAlignment="true" applyProtection="false">
      <alignment horizontal="left" vertical="center" textRotation="0" wrapText="false" indent="0" shrinkToFit="false"/>
      <protection locked="true" hidden="false"/>
    </xf>
    <xf numFmtId="167" fontId="0" fillId="24" borderId="6" xfId="0" applyFont="true" applyBorder="true" applyAlignment="true" applyProtection="false">
      <alignment horizontal="center" vertical="bottom" textRotation="0" wrapText="false" indent="0" shrinkToFit="false"/>
      <protection locked="true" hidden="false"/>
    </xf>
    <xf numFmtId="164" fontId="0" fillId="24" borderId="6" xfId="0" applyFont="true" applyBorder="true" applyAlignment="false" applyProtection="false">
      <alignment horizontal="general" vertical="bottom" textRotation="0" wrapText="false" indent="0" shrinkToFit="false"/>
      <protection locked="true" hidden="false"/>
    </xf>
    <xf numFmtId="171" fontId="20" fillId="24" borderId="6" xfId="0" applyFont="true" applyBorder="true" applyAlignment="true" applyProtection="false">
      <alignment horizontal="center" vertical="bottom" textRotation="0" wrapText="false" indent="0" shrinkToFit="false"/>
      <protection locked="true" hidden="false"/>
    </xf>
    <xf numFmtId="164" fontId="26" fillId="22" borderId="6" xfId="24" applyFont="true" applyBorder="true" applyAlignment="true" applyProtection="false">
      <alignment horizontal="left" vertical="center" textRotation="0" wrapText="false" indent="0" shrinkToFit="false"/>
      <protection locked="true" hidden="false"/>
    </xf>
    <xf numFmtId="164" fontId="0" fillId="24" borderId="11" xfId="0" applyFont="true" applyBorder="true" applyAlignment="false" applyProtection="false">
      <alignment horizontal="general" vertical="bottom" textRotation="0" wrapText="false" indent="0" shrinkToFit="false"/>
      <protection locked="true" hidden="false"/>
    </xf>
    <xf numFmtId="164" fontId="58" fillId="0" borderId="3" xfId="0" applyFont="true" applyBorder="true" applyAlignment="true" applyProtection="false">
      <alignment horizontal="general" vertical="center" textRotation="0" wrapText="true" indent="0" shrinkToFit="false"/>
      <protection locked="true" hidden="false"/>
    </xf>
    <xf numFmtId="167" fontId="0" fillId="0" borderId="3" xfId="0" applyFont="true" applyBorder="true" applyAlignment="true" applyProtection="false">
      <alignment horizontal="center" vertical="bottom" textRotation="0" wrapText="false" indent="0" shrinkToFit="false"/>
      <protection locked="true" hidden="false"/>
    </xf>
    <xf numFmtId="164" fontId="59" fillId="4" borderId="22" xfId="26" applyFont="true" applyBorder="true" applyAlignment="true" applyProtection="false">
      <alignment horizontal="center" vertical="center" textRotation="0" wrapText="false" indent="0" shrinkToFit="false"/>
      <protection locked="true" hidden="false"/>
    </xf>
    <xf numFmtId="164" fontId="61" fillId="0" borderId="3" xfId="0" applyFont="true" applyBorder="true" applyAlignment="true" applyProtection="false">
      <alignment horizontal="center" vertical="center" textRotation="0" wrapText="true" indent="0" shrinkToFit="false"/>
      <protection locked="true" hidden="false"/>
    </xf>
    <xf numFmtId="164" fontId="62" fillId="0" borderId="3" xfId="0" applyFont="tru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general" vertical="center" textRotation="0" wrapText="true" indent="0" shrinkToFit="false"/>
      <protection locked="true" hidden="false"/>
    </xf>
    <xf numFmtId="166" fontId="61" fillId="27" borderId="23" xfId="19" applyFont="true" applyBorder="true" applyAlignment="true" applyProtection="false">
      <alignment horizontal="center" vertical="center" textRotation="0" wrapText="false" indent="0" shrinkToFit="false"/>
      <protection locked="true" hidden="false"/>
    </xf>
    <xf numFmtId="164" fontId="63" fillId="0" borderId="3" xfId="0" applyFont="true" applyBorder="true" applyAlignment="true" applyProtection="false">
      <alignment horizontal="general" vertical="center" textRotation="0" wrapText="true" indent="0" shrinkToFit="false"/>
      <protection locked="true" hidden="false"/>
    </xf>
    <xf numFmtId="167" fontId="0" fillId="27" borderId="3" xfId="0" applyFont="true" applyBorder="true" applyAlignment="true" applyProtection="false">
      <alignment horizontal="center" vertical="bottom" textRotation="0" wrapText="false" indent="0" shrinkToFit="false"/>
      <protection locked="true" hidden="false"/>
    </xf>
    <xf numFmtId="164" fontId="60" fillId="4" borderId="22" xfId="26" applyFont="true" applyBorder="true" applyAlignment="true" applyProtection="false">
      <alignment horizontal="center" vertical="center" textRotation="0" wrapText="false" indent="0" shrinkToFit="false"/>
      <protection locked="true" hidden="false"/>
    </xf>
    <xf numFmtId="164" fontId="61" fillId="6" borderId="3" xfId="0" applyFont="true" applyBorder="true" applyAlignment="true" applyProtection="false">
      <alignment horizontal="center" vertical="center" textRotation="0" wrapText="false" indent="0" shrinkToFit="false"/>
      <protection locked="true" hidden="false"/>
    </xf>
    <xf numFmtId="164" fontId="58" fillId="20" borderId="3" xfId="0" applyFont="true" applyBorder="true" applyAlignment="true" applyProtection="false">
      <alignment horizontal="left" vertical="center" textRotation="0" wrapText="true" indent="0" shrinkToFit="false"/>
      <protection locked="true" hidden="false"/>
    </xf>
    <xf numFmtId="164" fontId="61" fillId="28" borderId="3" xfId="0" applyFont="true" applyBorder="true" applyAlignment="true" applyProtection="false">
      <alignment horizontal="center" vertical="center" textRotation="0" wrapText="true" indent="0" shrinkToFit="false"/>
      <protection locked="true" hidden="false"/>
    </xf>
    <xf numFmtId="164" fontId="58" fillId="29" borderId="3" xfId="0" applyFont="true" applyBorder="true" applyAlignment="true" applyProtection="false">
      <alignment horizontal="center" vertical="center" textRotation="0" wrapText="true" indent="0" shrinkToFit="false"/>
      <protection locked="true" hidden="false"/>
    </xf>
    <xf numFmtId="164" fontId="62" fillId="28" borderId="3" xfId="0" applyFont="true" applyBorder="true" applyAlignment="true" applyProtection="false">
      <alignment horizontal="center" vertical="center" textRotation="0" wrapText="true" indent="0" shrinkToFit="false"/>
      <protection locked="true" hidden="false"/>
    </xf>
    <xf numFmtId="167" fontId="20" fillId="21" borderId="24"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22" fillId="8"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left" vertical="center" textRotation="0" wrapText="true" indent="0" shrinkToFit="false"/>
      <protection locked="true" hidden="false"/>
    </xf>
    <xf numFmtId="164" fontId="12" fillId="30" borderId="3" xfId="0" applyFont="true" applyBorder="true" applyAlignment="true" applyProtection="false">
      <alignment horizontal="center" vertical="center" textRotation="0" wrapText="false" indent="0" shrinkToFit="false"/>
      <protection locked="true" hidden="false"/>
    </xf>
    <xf numFmtId="167" fontId="11" fillId="0" borderId="3" xfId="0" applyFont="true" applyBorder="true" applyAlignment="true" applyProtection="false">
      <alignment horizontal="center" vertical="center" textRotation="0" wrapText="false" indent="0" shrinkToFit="false"/>
      <protection locked="true" hidden="false"/>
    </xf>
    <xf numFmtId="166" fontId="64" fillId="10" borderId="3"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true" applyAlignment="true" applyProtection="false">
      <alignment horizontal="left" vertical="top" textRotation="0" wrapText="false" indent="0" shrinkToFit="false"/>
      <protection locked="true" hidden="false"/>
    </xf>
    <xf numFmtId="171" fontId="20" fillId="24" borderId="6" xfId="0" applyFont="true" applyBorder="true" applyAlignment="true" applyProtection="false">
      <alignment horizontal="right" vertical="bottom" textRotation="0" wrapText="false" indent="0" shrinkToFit="false"/>
      <protection locked="true" hidden="false"/>
    </xf>
    <xf numFmtId="164" fontId="68" fillId="25" borderId="23" xfId="0" applyFont="true" applyBorder="true" applyAlignment="true" applyProtection="false">
      <alignment horizontal="center" vertical="center" textRotation="0" wrapText="false" indent="0" shrinkToFit="false"/>
      <protection locked="true" hidden="false"/>
    </xf>
    <xf numFmtId="173" fontId="37" fillId="14" borderId="6" xfId="0" applyFont="true" applyBorder="true" applyAlignment="true" applyProtection="false">
      <alignment horizontal="center" vertical="center" textRotation="0" wrapText="false" indent="0" shrinkToFit="false"/>
      <protection locked="true" hidden="false"/>
    </xf>
    <xf numFmtId="174" fontId="69" fillId="14" borderId="10" xfId="0" applyFont="true" applyBorder="true" applyAlignment="true" applyProtection="false">
      <alignment horizontal="center" vertical="center" textRotation="0" wrapText="true" indent="0" shrinkToFit="false"/>
      <protection locked="true" hidden="false"/>
    </xf>
    <xf numFmtId="164" fontId="58" fillId="0" borderId="0" xfId="0" applyFont="true" applyBorder="false" applyAlignment="true" applyProtection="false">
      <alignment horizontal="center" vertical="center" textRotation="0" wrapText="false" indent="0" shrinkToFit="false"/>
      <protection locked="true" hidden="false"/>
    </xf>
    <xf numFmtId="168" fontId="70" fillId="26" borderId="3" xfId="0" applyFont="true" applyBorder="true" applyAlignment="true" applyProtection="false">
      <alignment horizontal="center" vertical="bottom" textRotation="0" wrapText="false" indent="0" shrinkToFit="false"/>
      <protection locked="true" hidden="false"/>
    </xf>
    <xf numFmtId="164" fontId="11" fillId="0" borderId="3" xfId="0" applyFont="true" applyBorder="true" applyAlignment="true" applyProtection="true">
      <alignment horizontal="center" vertical="center" textRotation="0" wrapText="false" indent="0" shrinkToFit="false"/>
      <protection locked="fals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70" fontId="33" fillId="0" borderId="0" xfId="0" applyFont="true" applyBorder="false" applyAlignment="true" applyProtection="false">
      <alignment horizontal="center" vertical="center" textRotation="0" wrapText="true" indent="0" shrinkToFit="false"/>
      <protection locked="true" hidden="false"/>
    </xf>
    <xf numFmtId="164" fontId="24" fillId="9" borderId="13" xfId="25" applyFont="true" applyBorder="true" applyAlignment="true" applyProtection="false">
      <alignment horizontal="center" vertical="center" textRotation="0" wrapText="true" indent="0" shrinkToFit="false"/>
      <protection locked="true" hidden="false"/>
    </xf>
    <xf numFmtId="167" fontId="17" fillId="24" borderId="6" xfId="0" applyFont="true" applyBorder="true" applyAlignment="true" applyProtection="false">
      <alignment horizontal="center" vertical="bottom" textRotation="0" wrapText="false" indent="0" shrinkToFit="false"/>
      <protection locked="true" hidden="false"/>
    </xf>
    <xf numFmtId="171" fontId="18" fillId="24" borderId="6" xfId="0" applyFont="true" applyBorder="true" applyAlignment="true" applyProtection="false">
      <alignment horizontal="center" vertical="bottom" textRotation="0" wrapText="false" indent="0" shrinkToFit="false"/>
      <protection locked="true" hidden="false"/>
    </xf>
    <xf numFmtId="164" fontId="68" fillId="25" borderId="6" xfId="0" applyFont="true" applyBorder="true" applyAlignment="true" applyProtection="false">
      <alignment horizontal="center" vertical="center" textRotation="0" wrapText="false" indent="0" shrinkToFit="false"/>
      <protection locked="true" hidden="false"/>
    </xf>
    <xf numFmtId="168" fontId="20" fillId="26" borderId="25" xfId="0" applyFont="true" applyBorder="true" applyAlignment="true" applyProtection="false">
      <alignment horizontal="center" vertical="center" textRotation="0" wrapText="false" indent="0" shrinkToFit="false"/>
      <protection locked="true" hidden="false"/>
    </xf>
    <xf numFmtId="166" fontId="18" fillId="0" borderId="3" xfId="0" applyFont="true" applyBorder="true" applyAlignment="true" applyProtection="false">
      <alignment horizontal="center" vertical="center" textRotation="0" wrapText="false" indent="0" shrinkToFit="false"/>
      <protection locked="true" hidden="false"/>
    </xf>
    <xf numFmtId="164" fontId="72" fillId="12" borderId="6" xfId="24" applyFont="true" applyBorder="true" applyAlignment="true" applyProtection="false">
      <alignment horizontal="center" vertical="center" textRotation="0" wrapText="false" indent="0" shrinkToFit="false"/>
      <protection locked="true" hidden="false"/>
    </xf>
    <xf numFmtId="168" fontId="73" fillId="26" borderId="25" xfId="0" applyFont="true" applyBorder="true" applyAlignment="true" applyProtection="false">
      <alignment horizontal="center" vertical="center" textRotation="0" wrapText="false" indent="0" shrinkToFit="false"/>
      <protection locked="true" hidden="false"/>
    </xf>
    <xf numFmtId="164" fontId="74" fillId="0" borderId="0" xfId="0" applyFont="true" applyBorder="false" applyAlignment="true" applyProtection="false">
      <alignment horizontal="center" vertical="center" textRotation="0" wrapText="false" indent="0" shrinkToFit="false"/>
      <protection locked="true" hidden="false"/>
    </xf>
    <xf numFmtId="166" fontId="72" fillId="0" borderId="3" xfId="0" applyFont="true" applyBorder="true" applyAlignment="true" applyProtection="false">
      <alignment horizontal="center" vertical="center" textRotation="0" wrapText="false" indent="0" shrinkToFit="false"/>
      <protection locked="true" hidden="false"/>
    </xf>
    <xf numFmtId="164" fontId="72" fillId="14" borderId="6" xfId="24" applyFont="true" applyBorder="true" applyAlignment="true" applyProtection="false">
      <alignment horizontal="center" vertical="center" textRotation="0" wrapText="false" indent="0" shrinkToFit="false"/>
      <protection locked="true" hidden="false"/>
    </xf>
    <xf numFmtId="164" fontId="23" fillId="8" borderId="3" xfId="0" applyFont="true" applyBorder="true" applyAlignment="true" applyProtection="false">
      <alignment horizontal="general" vertical="center" textRotation="0" wrapText="false" indent="0" shrinkToFit="false"/>
      <protection locked="true" hidden="false"/>
    </xf>
    <xf numFmtId="164" fontId="23" fillId="8" borderId="3"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general" vertical="center" textRotation="0" wrapText="false" indent="0" shrinkToFit="false"/>
      <protection locked="true" hidden="false"/>
    </xf>
    <xf numFmtId="164" fontId="77" fillId="0"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7" fillId="10" borderId="3" xfId="0" applyFont="true" applyBorder="true" applyAlignment="true" applyProtection="false">
      <alignment horizontal="general" vertical="center" textRotation="0" wrapText="false" indent="0" shrinkToFit="false"/>
      <protection locked="true" hidden="false"/>
    </xf>
    <xf numFmtId="169" fontId="20" fillId="5" borderId="3" xfId="0" applyFont="true" applyBorder="true" applyAlignment="true" applyProtection="true">
      <alignment horizontal="center" vertical="center" textRotation="0" wrapText="false" indent="0" shrinkToFit="false"/>
      <protection locked="false" hidden="false"/>
    </xf>
    <xf numFmtId="169" fontId="78" fillId="10" borderId="3" xfId="0" applyFont="true" applyBorder="true" applyAlignment="true" applyProtection="false">
      <alignment horizontal="center" vertical="center" textRotation="0" wrapText="false" indent="0" shrinkToFit="false"/>
      <protection locked="true" hidden="false"/>
    </xf>
    <xf numFmtId="169" fontId="20" fillId="5" borderId="3" xfId="19" applyFont="true" applyBorder="true" applyAlignment="true" applyProtection="true">
      <alignment horizontal="center" vertical="center" textRotation="0" wrapText="false" indent="0" shrinkToFit="false"/>
      <protection locked="false" hidden="false"/>
    </xf>
    <xf numFmtId="169" fontId="78" fillId="10" borderId="3" xfId="19" applyFont="true" applyBorder="true" applyAlignment="true" applyProtection="false">
      <alignment horizontal="center" vertical="center" textRotation="0" wrapText="false" indent="0" shrinkToFit="false"/>
      <protection locked="true" hidden="false"/>
    </xf>
    <xf numFmtId="164" fontId="24" fillId="9" borderId="13" xfId="25" applyFont="true" applyBorder="true" applyAlignment="true" applyProtection="false">
      <alignment horizontal="left" vertical="center" textRotation="0" wrapText="true" indent="0" shrinkToFit="false"/>
      <protection locked="true" hidden="false"/>
    </xf>
    <xf numFmtId="170" fontId="0" fillId="24" borderId="6" xfId="0" applyFont="true" applyBorder="true" applyAlignment="true" applyProtection="false">
      <alignment horizontal="center" vertical="bottom" textRotation="0" wrapText="false" indent="0" shrinkToFit="false"/>
      <protection locked="true" hidden="false"/>
    </xf>
    <xf numFmtId="168" fontId="0" fillId="26" borderId="25" xfId="0" applyFont="true" applyBorder="true" applyAlignment="true" applyProtection="false">
      <alignment horizontal="center" vertical="center" textRotation="0" wrapText="false" indent="0" shrinkToFit="false"/>
      <protection locked="true" hidden="false"/>
    </xf>
    <xf numFmtId="164" fontId="23" fillId="8" borderId="3" xfId="0" applyFont="true" applyBorder="true" applyAlignment="true" applyProtection="false">
      <alignment horizontal="right" vertical="center" textRotation="0" wrapText="false" indent="0" shrinkToFit="false"/>
      <protection locked="true" hidden="false"/>
    </xf>
    <xf numFmtId="164" fontId="17" fillId="10" borderId="3" xfId="0" applyFont="true" applyBorder="true" applyAlignment="true" applyProtection="false">
      <alignment horizontal="general" vertical="top" textRotation="0" wrapText="false" indent="0" shrinkToFit="false"/>
      <protection locked="true" hidden="false"/>
    </xf>
    <xf numFmtId="169" fontId="0" fillId="5" borderId="3" xfId="0" applyFont="true" applyBorder="true" applyAlignment="true" applyProtection="true">
      <alignment horizontal="center" vertical="bottom" textRotation="0" wrapText="false" indent="0" shrinkToFit="false"/>
      <protection locked="false" hidden="false"/>
    </xf>
    <xf numFmtId="169" fontId="24" fillId="10" borderId="3" xfId="0" applyFont="true" applyBorder="true" applyAlignment="true" applyProtection="false">
      <alignment horizontal="right" vertical="bottom" textRotation="0" wrapText="false" indent="0" shrinkToFit="false"/>
      <protection locked="true" hidden="false"/>
    </xf>
    <xf numFmtId="169" fontId="0" fillId="5" borderId="3" xfId="19" applyFont="true" applyBorder="true" applyAlignment="true" applyProtection="true">
      <alignment horizontal="center" vertical="bottom" textRotation="0" wrapText="false" indent="0" shrinkToFit="false"/>
      <protection locked="false" hidden="false"/>
    </xf>
    <xf numFmtId="169" fontId="24" fillId="10" borderId="3" xfId="19" applyFont="true" applyBorder="true" applyAlignment="true" applyProtection="false">
      <alignment horizontal="right" vertical="bottom" textRotation="0" wrapText="false" indent="0" shrinkToFit="false"/>
      <protection locked="true" hidden="false"/>
    </xf>
    <xf numFmtId="164" fontId="80" fillId="0" borderId="0" xfId="0" applyFont="true" applyBorder="false" applyAlignment="true" applyProtection="false">
      <alignment horizontal="left" vertical="center" textRotation="0" wrapText="false" indent="1"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6" fontId="0" fillId="5" borderId="3" xfId="0" applyFont="true" applyBorder="true" applyAlignment="true" applyProtection="false">
      <alignment horizontal="center" vertical="center" textRotation="0" wrapText="false" indent="0" shrinkToFit="false"/>
      <protection locked="true" hidden="false"/>
    </xf>
    <xf numFmtId="166" fontId="0" fillId="5" borderId="3" xfId="19"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8" fontId="0" fillId="24" borderId="6" xfId="0" applyFont="true" applyBorder="true" applyAlignment="true" applyProtection="false">
      <alignment horizontal="center" vertical="bottom" textRotation="0" wrapText="false" indent="0" shrinkToFit="false"/>
      <protection locked="true" hidden="false"/>
    </xf>
    <xf numFmtId="169" fontId="0" fillId="5" borderId="3" xfId="0" applyFont="true" applyBorder="true" applyAlignment="true" applyProtection="true">
      <alignment horizontal="center" vertical="center" textRotation="0" wrapText="false" indent="0" shrinkToFit="false"/>
      <protection locked="false" hidden="false"/>
    </xf>
    <xf numFmtId="169" fontId="0" fillId="5" borderId="3" xfId="19" applyFont="true" applyBorder="true" applyAlignment="true" applyProtection="true">
      <alignment horizontal="center" vertical="center" textRotation="0" wrapText="false" indent="0" shrinkToFit="false"/>
      <protection locked="fals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0" fillId="0" borderId="26"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8" fontId="0" fillId="0" borderId="6" xfId="0" applyFont="true" applyBorder="true" applyAlignment="true" applyProtection="false">
      <alignment horizontal="center" vertical="bottom" textRotation="0" wrapText="false" indent="0" shrinkToFit="false"/>
      <protection locked="true" hidden="false"/>
    </xf>
    <xf numFmtId="164" fontId="23" fillId="17" borderId="3" xfId="0" applyFont="true" applyBorder="true" applyAlignment="true" applyProtection="false">
      <alignment horizontal="general" vertical="center" textRotation="0" wrapText="false" indent="0" shrinkToFit="false"/>
      <protection locked="true" hidden="false"/>
    </xf>
    <xf numFmtId="164" fontId="23" fillId="17" borderId="3" xfId="0" applyFont="true" applyBorder="true" applyAlignment="true" applyProtection="false">
      <alignment horizontal="center" vertical="center" textRotation="0" wrapText="false" indent="0" shrinkToFit="false"/>
      <protection locked="true" hidden="false"/>
    </xf>
    <xf numFmtId="164" fontId="17" fillId="30" borderId="3" xfId="0" applyFont="true" applyBorder="true" applyAlignment="true" applyProtection="false">
      <alignment horizontal="general" vertical="center" textRotation="0" wrapText="false" indent="0" shrinkToFit="false"/>
      <protection locked="true" hidden="false"/>
    </xf>
    <xf numFmtId="169" fontId="0" fillId="5" borderId="3" xfId="0" applyFont="true" applyBorder="true" applyAlignment="true" applyProtection="false">
      <alignment horizontal="center" vertical="center" textRotation="0" wrapText="false" indent="0" shrinkToFit="false"/>
      <protection locked="true" hidden="false"/>
    </xf>
    <xf numFmtId="169" fontId="24" fillId="19" borderId="3" xfId="0" applyFont="true" applyBorder="true" applyAlignment="true" applyProtection="false">
      <alignment horizontal="center" vertical="center" textRotation="0" wrapText="false" indent="0" shrinkToFit="false"/>
      <protection locked="true" hidden="false"/>
    </xf>
    <xf numFmtId="169" fontId="0" fillId="5" borderId="3" xfId="19" applyFont="true" applyBorder="true" applyAlignment="true" applyProtection="false">
      <alignment horizontal="center" vertical="center" textRotation="0" wrapText="false" indent="0" shrinkToFit="false"/>
      <protection locked="true" hidden="false"/>
    </xf>
    <xf numFmtId="169" fontId="24" fillId="19" borderId="3" xfId="19" applyFont="true" applyBorder="true" applyAlignment="true" applyProtection="fals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Excel Built-in Heading 1" xfId="22"/>
    <cellStyle name="Excel Built-in Heading 2" xfId="23"/>
    <cellStyle name="*unknown*" xfId="20" builtinId="8"/>
    <cellStyle name="Excel Built-in Accent4" xfId="24"/>
    <cellStyle name="Excel Built-in 60% - Accent1" xfId="25"/>
    <cellStyle name="Excel Built-in Neutral" xfId="26"/>
  </cellStyles>
  <dxfs count="22">
    <dxf>
      <fill>
        <patternFill>
          <bgColor rgb="FFF2D2EE"/>
        </patternFill>
      </fill>
    </dxf>
    <dxf>
      <fill>
        <patternFill>
          <bgColor theme="0"/>
        </patternFill>
      </fill>
    </dxf>
    <dxf>
      <font>
        <b val="1"/>
        <color rgb="FFFFFFFF"/>
      </font>
      <fill>
        <patternFill>
          <bgColor theme="8" tint="-0.25"/>
        </patternFill>
      </fill>
    </dxf>
    <dxf>
      <font>
        <b val="1"/>
      </font>
      <fill>
        <patternFill>
          <bgColor theme="8" tint="0.3999"/>
        </patternFill>
      </fill>
    </dxf>
    <dxf>
      <font>
        <b val="1"/>
      </font>
      <fill>
        <patternFill>
          <bgColor theme="8" tint="0.7999"/>
        </patternFill>
      </fill>
    </dxf>
    <dxf>
      <font>
        <b val="1"/>
        <color rgb="FF000000"/>
      </font>
      <fill>
        <patternFill>
          <bgColor theme="8" tint="0.7999"/>
        </patternFill>
      </fill>
    </dxf>
    <dxf>
      <font>
        <b val="1"/>
        <color rgb="00FFFFFF"/>
      </font>
      <fill>
        <patternFill>
          <bgColor theme="8" tint="0.5999"/>
        </patternFill>
      </fill>
    </dxf>
    <dxf>
      <font>
        <b val="1"/>
        <color rgb="FFFFFFFF"/>
      </font>
      <fill>
        <patternFill>
          <bgColor theme="8" tint="0.3999"/>
        </patternFill>
      </fill>
    </dxf>
    <dxf>
      <fill>
        <patternFill patternType="solid">
          <fgColor rgb="FF181717"/>
          <bgColor rgb="FF000000"/>
        </patternFill>
      </fill>
    </dxf>
    <dxf>
      <fill>
        <patternFill patternType="solid">
          <fgColor rgb="FF767171"/>
          <bgColor rgb="FF000000"/>
        </patternFill>
      </fill>
    </dxf>
    <dxf>
      <fill>
        <patternFill patternType="solid">
          <fgColor rgb="FF806000"/>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9DC3E6"/>
          <bgColor rgb="FF000000"/>
        </patternFill>
      </fill>
    </dxf>
    <dxf>
      <fill>
        <patternFill patternType="solid">
          <fgColor rgb="FFDEEBF7"/>
          <bgColor rgb="FF000000"/>
        </patternFill>
      </fill>
    </dxf>
    <dxf>
      <fill>
        <patternFill patternType="solid">
          <fgColor rgb="FFFFF2CC"/>
          <bgColor rgb="FF000000"/>
        </patternFill>
      </fill>
    </dxf>
    <dxf>
      <fill>
        <patternFill patternType="solid">
          <fgColor rgb="FF000000"/>
          <bgColor rgb="FF000000"/>
        </patternFill>
      </fill>
    </dxf>
    <dxf>
      <fill>
        <patternFill patternType="solid">
          <bgColor rgb="FF000000"/>
        </patternFill>
      </fill>
    </dxf>
    <dxf>
      <font>
        <b val="1"/>
        <color rgb="FFFFFFFF"/>
      </font>
      <fill>
        <patternFill>
          <bgColor rgb="FFFF0000"/>
        </patternFill>
      </fill>
    </dxf>
    <dxf>
      <font>
        <b val="1"/>
      </font>
      <fill>
        <patternFill>
          <bgColor theme="8" tint="0.5999"/>
        </patternFill>
      </fill>
    </dxf>
    <dxf>
      <font>
        <color rgb="FFFFFFFF"/>
      </font>
      <fill>
        <patternFill>
          <bgColor theme="8" tint="-0.25"/>
        </patternFill>
      </fill>
    </dxf>
  </dxfs>
  <colors>
    <indexedColors>
      <rgbColor rgb="FF000000"/>
      <rgbColor rgb="FFFFFFFF"/>
      <rgbColor rgb="FFFF0000"/>
      <rgbColor rgb="FFCFD0CD"/>
      <rgbColor rgb="FF0000FF"/>
      <rgbColor rgb="FFFFE8C6"/>
      <rgbColor rgb="FFF9D0C2"/>
      <rgbColor rgb="FFBED7EE"/>
      <rgbColor rgb="FFDCDCDC"/>
      <rgbColor rgb="FF385724"/>
      <rgbColor rgb="FFFBE5D6"/>
      <rgbColor rgb="FF806000"/>
      <rgbColor rgb="FFD9D9D9"/>
      <rgbColor rgb="FF2E75B6"/>
      <rgbColor rgb="FFBFBFBF"/>
      <rgbColor rgb="FF808080"/>
      <rgbColor rgb="FF8FA3D8"/>
      <rgbColor rgb="FF7030A0"/>
      <rgbColor rgb="FFFFF2CC"/>
      <rgbColor rgb="FFDEEBF7"/>
      <rgbColor rgb="FF595959"/>
      <rgbColor rgb="FFAFABAB"/>
      <rgbColor rgb="FF0563C1"/>
      <rgbColor rgb="FFBDC7E5"/>
      <rgbColor rgb="FFF2F2F2"/>
      <rgbColor rgb="FFF2D2EE"/>
      <rgbColor rgb="FFF8CBAD"/>
      <rgbColor rgb="FFC3C3C3"/>
      <rgbColor rgb="FFD6DCE5"/>
      <rgbColor rgb="FFE7E6E6"/>
      <rgbColor rgb="FF44546A"/>
      <rgbColor rgb="FFEDEDED"/>
      <rgbColor rgb="FF7F97B9"/>
      <rgbColor rgb="FFDAE3F3"/>
      <rgbColor rgb="FFE2F0D9"/>
      <rgbColor rgb="FFFFEB9C"/>
      <rgbColor rgb="FF9DC3E7"/>
      <rgbColor rgb="FFF6AB8A"/>
      <rgbColor rgb="FFA2B7E1"/>
      <rgbColor rgb="FFFFD48E"/>
      <rgbColor rgb="FF4473C4"/>
      <rgbColor rgb="FF8FAADC"/>
      <rgbColor rgb="FFA8D18E"/>
      <rgbColor rgb="FFFFC000"/>
      <rgbColor rgb="FFC09000"/>
      <rgbColor rgb="FFEC7B2F"/>
      <rgbColor rgb="FF767171"/>
      <rgbColor rgb="FFA4A4A4"/>
      <rgbColor rgb="FF2F5798"/>
      <rgbColor rgb="FF548235"/>
      <rgbColor rgb="FF181717"/>
      <rgbColor rgb="FF404040"/>
      <rgbColor rgb="FF843C0B"/>
      <rgbColor rgb="FF9C5700"/>
      <rgbColor rgb="FF1F4E79"/>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externalLink" Target="externalLinks/externalLink1.xml"/><Relationship Id="rId30" Type="http://schemas.openxmlformats.org/officeDocument/2006/relationships/externalLink" Target="externalLinks/externalLink2.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8" strike="noStrike">
                <a:solidFill>
                  <a:srgbClr val="808080"/>
                </a:solidFill>
                <a:latin typeface="Calibri"/>
              </a:defRPr>
            </a:pPr>
            <a:r>
              <a:rPr b="0" lang="en-US" sz="1200" spc="18" strike="noStrike">
                <a:solidFill>
                  <a:srgbClr val="808080"/>
                </a:solidFill>
                <a:latin typeface="Calibri"/>
              </a:rPr>
              <a:t>Design Factor 1 Enterprise Strategy
Importance of different strategies (Input) </a:t>
            </a:r>
          </a:p>
        </c:rich>
      </c:tx>
      <c:overlay val="0"/>
      <c:spPr>
        <a:noFill/>
        <a:ln w="0">
          <a:noFill/>
        </a:ln>
      </c:spPr>
    </c:title>
    <c:autoTitleDeleted val="0"/>
    <c:plotArea>
      <c:barChart>
        <c:barDir val="bar"/>
        <c:grouping val="clustered"/>
        <c:varyColors val="1"/>
        <c:ser>
          <c:idx val="0"/>
          <c:order val="0"/>
          <c:spPr>
            <a:solidFill>
              <a:srgbClr val="4472c4"/>
            </a:solidFill>
            <a:ln w="0">
              <a:noFill/>
            </a:ln>
          </c:spPr>
          <c:invertIfNegative val="0"/>
          <c:dPt>
            <c:idx val="0"/>
            <c:spPr>
              <a:gradFill>
                <a:gsLst>
                  <a:gs pos="0">
                    <a:srgbClr val="bdc7e5"/>
                  </a:gs>
                  <a:gs pos="50000">
                    <a:srgbClr val="a4b3dc"/>
                  </a:gs>
                  <a:gs pos="100000">
                    <a:srgbClr val="8fa3d8"/>
                  </a:gs>
                </a:gsLst>
                <a:lin ang="5400000"/>
              </a:gradFill>
              <a:ln w="9360">
                <a:solidFill>
                  <a:srgbClr val="426fbf"/>
                </a:solidFill>
                <a:round/>
              </a:ln>
            </c:spPr>
          </c:dPt>
          <c:dPt>
            <c:idx val="1"/>
            <c:spPr>
              <a:gradFill>
                <a:gsLst>
                  <a:gs pos="0">
                    <a:srgbClr val="f9d0c2"/>
                  </a:gs>
                  <a:gs pos="50000">
                    <a:srgbClr val="f5baa4"/>
                  </a:gs>
                  <a:gs pos="100000">
                    <a:srgbClr val="f6aa8c"/>
                  </a:gs>
                </a:gsLst>
                <a:lin ang="5400000"/>
              </a:gradFill>
              <a:ln w="9360">
                <a:solidFill>
                  <a:srgbClr val="e77a2f"/>
                </a:solidFill>
                <a:round/>
              </a:ln>
            </c:spPr>
          </c:dPt>
          <c:dPt>
            <c:idx val="2"/>
            <c:spPr>
              <a:gradFill>
                <a:gsLst>
                  <a:gs pos="0">
                    <a:srgbClr val="dcdcdc"/>
                  </a:gs>
                  <a:gs pos="50000">
                    <a:srgbClr val="cccccc"/>
                  </a:gs>
                  <a:gs pos="100000">
                    <a:srgbClr val="c3c3c3"/>
                  </a:gs>
                </a:gsLst>
                <a:lin ang="5400000"/>
              </a:gradFill>
              <a:ln w="9360">
                <a:solidFill>
                  <a:srgbClr val="a1a1a1"/>
                </a:solidFill>
                <a:round/>
              </a:ln>
            </c:spPr>
          </c:dPt>
          <c:dPt>
            <c:idx val="3"/>
            <c:spPr>
              <a:gradFill>
                <a:gsLst>
                  <a:gs pos="0">
                    <a:srgbClr val="ffe8c6"/>
                  </a:gs>
                  <a:gs pos="50000">
                    <a:srgbClr val="ffdba4"/>
                  </a:gs>
                  <a:gs pos="100000">
                    <a:srgbClr val="ffd48e"/>
                  </a:gs>
                </a:gsLst>
                <a:lin ang="5400000"/>
              </a:gradFill>
              <a:ln w="9360">
                <a:solidFill>
                  <a:srgbClr val="f9bb00"/>
                </a:solidFill>
                <a:round/>
              </a:ln>
            </c:spPr>
          </c:dPt>
          <c:dLbls>
            <c:numFmt formatCode="0" sourceLinked="1"/>
            <c:dLbl>
              <c:idx val="0"/>
              <c:numFmt formatCode="0" sourceLinked="1"/>
              <c:txPr>
                <a:bodyPr wrap="square"/>
                <a:lstStyle/>
                <a:p>
                  <a:pPr>
                    <a:defRPr b="0" sz="800" spc="-1" strike="noStrike">
                      <a:solidFill>
                        <a:srgbClr val="808080"/>
                      </a:solidFill>
                      <a:latin typeface="Calibri"/>
                    </a:defRPr>
                  </a:pPr>
                </a:p>
              </c:txPr>
              <c:dLblPos val="inEnd"/>
              <c:showLegendKey val="0"/>
              <c:showVal val="1"/>
              <c:showCatName val="0"/>
              <c:showSerName val="0"/>
              <c:showPercent val="0"/>
              <c:separator>; </c:separator>
            </c:dLbl>
            <c:dLbl>
              <c:idx val="1"/>
              <c:numFmt formatCode="0" sourceLinked="1"/>
              <c:txPr>
                <a:bodyPr wrap="square"/>
                <a:lstStyle/>
                <a:p>
                  <a:pPr>
                    <a:defRPr b="0" sz="800" spc="-1" strike="noStrike">
                      <a:solidFill>
                        <a:srgbClr val="808080"/>
                      </a:solidFill>
                      <a:latin typeface="Calibri"/>
                    </a:defRPr>
                  </a:pPr>
                </a:p>
              </c:txPr>
              <c:dLblPos val="inEnd"/>
              <c:showLegendKey val="0"/>
              <c:showVal val="1"/>
              <c:showCatName val="0"/>
              <c:showSerName val="0"/>
              <c:showPercent val="0"/>
              <c:separator>; </c:separator>
            </c:dLbl>
            <c:dLbl>
              <c:idx val="2"/>
              <c:numFmt formatCode="0" sourceLinked="1"/>
              <c:txPr>
                <a:bodyPr wrap="square"/>
                <a:lstStyle/>
                <a:p>
                  <a:pPr>
                    <a:defRPr b="0" sz="800" spc="-1" strike="noStrike">
                      <a:solidFill>
                        <a:srgbClr val="808080"/>
                      </a:solidFill>
                      <a:latin typeface="Calibri"/>
                    </a:defRPr>
                  </a:pPr>
                </a:p>
              </c:txPr>
              <c:dLblPos val="inEnd"/>
              <c:showLegendKey val="0"/>
              <c:showVal val="1"/>
              <c:showCatName val="0"/>
              <c:showSerName val="0"/>
              <c:showPercent val="0"/>
              <c:separator>; </c:separator>
            </c:dLbl>
            <c:dLbl>
              <c:idx val="3"/>
              <c:numFmt formatCode="0" sourceLinked="1"/>
              <c:txPr>
                <a:bodyPr wrap="square"/>
                <a:lstStyle/>
                <a:p>
                  <a:pPr>
                    <a:defRPr b="0" sz="800" spc="-1" strike="noStrike">
                      <a:solidFill>
                        <a:srgbClr val="808080"/>
                      </a:solidFill>
                      <a:latin typeface="Calibri"/>
                    </a:defRPr>
                  </a:pPr>
                </a:p>
              </c:txPr>
              <c:dLblPos val="inEnd"/>
              <c:showLegendKey val="0"/>
              <c:showVal val="1"/>
              <c:showCatName val="0"/>
              <c:showSerName val="0"/>
              <c:showPercent val="0"/>
              <c:separator>; </c:separator>
            </c:dLbl>
            <c:txPr>
              <a:bodyPr wrap="square"/>
              <a:lstStyle/>
              <a:p>
                <a:pPr>
                  <a:defRPr b="0" sz="800" spc="-1" strike="noStrike">
                    <a:solidFill>
                      <a:srgbClr val="808080"/>
                    </a:solidFill>
                    <a:latin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DF1!$B$7:$B$10</c:f>
              <c:strCache>
                <c:ptCount val="4"/>
                <c:pt idx="0">
                  <c:v/>
                </c:pt>
                <c:pt idx="1">
                  <c:v/>
                </c:pt>
                <c:pt idx="2">
                  <c:v/>
                </c:pt>
                <c:pt idx="3">
                  <c:v/>
                </c:pt>
              </c:strCache>
            </c:strRef>
          </c:cat>
          <c:val>
            <c:numRef>
              <c:f>DF1!$D$7:$D$10</c:f>
              <c:numCache>
                <c:formatCode>0</c:formatCode>
                <c:ptCount val="4"/>
                <c:pt idx="0">
                  <c:v>1</c:v>
                </c:pt>
                <c:pt idx="1">
                  <c:v>4</c:v>
                </c:pt>
                <c:pt idx="2">
                  <c:v>2</c:v>
                </c:pt>
                <c:pt idx="3">
                  <c:v>5</c:v>
                </c:pt>
              </c:numCache>
            </c:numRef>
          </c:val>
        </c:ser>
        <c:gapWidth val="100"/>
        <c:overlap val="0"/>
        <c:axId val="35211804"/>
        <c:axId val="67013298"/>
      </c:barChart>
      <c:catAx>
        <c:axId val="35211804"/>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808080"/>
                </a:solidFill>
                <a:latin typeface="Calibri"/>
              </a:defRPr>
            </a:pPr>
          </a:p>
        </c:txPr>
        <c:crossAx val="67013298"/>
        <c:crosses val="autoZero"/>
        <c:auto val="1"/>
        <c:lblAlgn val="ctr"/>
        <c:lblOffset val="100"/>
        <c:noMultiLvlLbl val="0"/>
      </c:catAx>
      <c:valAx>
        <c:axId val="67013298"/>
        <c:scaling>
          <c:orientation val="minMax"/>
          <c:max val="5"/>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sz="800" spc="-1" strike="noStrike">
                <a:solidFill>
                  <a:srgbClr val="808080"/>
                </a:solidFill>
                <a:latin typeface="Calibri"/>
              </a:defRPr>
            </a:pPr>
          </a:p>
        </c:txPr>
        <c:crossAx val="35211804"/>
        <c:crosses val="autoZero"/>
        <c:crossBetween val="between"/>
        <c:majorUnit val="1"/>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8" strike="noStrike">
                <a:solidFill>
                  <a:srgbClr val="808080"/>
                </a:solidFill>
                <a:latin typeface="Calibri"/>
              </a:defRPr>
            </a:pPr>
            <a:r>
              <a:rPr b="0" lang="en-US" sz="1200" spc="18" strike="noStrike">
                <a:solidFill>
                  <a:srgbClr val="808080"/>
                </a:solidFill>
                <a:latin typeface="Calibri"/>
              </a:rPr>
              <a:t>Design Factor 1 Enterprise Strategy
Resulting Governance/Management Objectives Importance (Output)</a:t>
            </a:r>
          </a:p>
        </c:rich>
      </c:tx>
      <c:layout>
        <c:manualLayout>
          <c:xMode val="edge"/>
          <c:yMode val="edge"/>
          <c:x val="0.170791406037531"/>
          <c:y val="0.00655901033666819"/>
        </c:manualLayout>
      </c:layout>
      <c:overlay val="0"/>
      <c:spPr>
        <a:noFill/>
        <a:ln w="0">
          <a:noFill/>
        </a:ln>
      </c:spPr>
    </c:title>
    <c:autoTitleDeleted val="0"/>
    <c:plotArea>
      <c:barChart>
        <c:barDir val="bar"/>
        <c:grouping val="clustered"/>
        <c:varyColors val="0"/>
        <c:ser>
          <c:idx val="0"/>
          <c:order val="0"/>
          <c:spPr>
            <a:solidFill>
              <a:srgbClr val="f2d2ee"/>
            </a:solidFill>
            <a:ln w="936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5</c:v>
                </c:pt>
                <c:pt idx="1">
                  <c:v>15</c:v>
                </c:pt>
                <c:pt idx="2">
                  <c:v>15</c:v>
                </c:pt>
                <c:pt idx="3">
                  <c:v>-20</c:v>
                </c:pt>
                <c:pt idx="4">
                  <c:v>10</c:v>
                </c:pt>
                <c:pt idx="5">
                  <c:v>0</c:v>
                </c:pt>
                <c:pt idx="6">
                  <c:v>-10</c:v>
                </c:pt>
                <c:pt idx="7">
                  <c:v>-20</c:v>
                </c:pt>
                <c:pt idx="8">
                  <c:v>15</c:v>
                </c:pt>
                <c:pt idx="9">
                  <c:v>-10</c:v>
                </c:pt>
                <c:pt idx="10">
                  <c:v>-20</c:v>
                </c:pt>
                <c:pt idx="11">
                  <c:v>-15</c:v>
                </c:pt>
                <c:pt idx="12">
                  <c:v>25</c:v>
                </c:pt>
                <c:pt idx="13">
                  <c:v>25</c:v>
                </c:pt>
                <c:pt idx="14">
                  <c:v>-5</c:v>
                </c:pt>
                <c:pt idx="15">
                  <c:v>30</c:v>
                </c:pt>
                <c:pt idx="16">
                  <c:v>20</c:v>
                </c:pt>
                <c:pt idx="17">
                  <c:v>20</c:v>
                </c:pt>
                <c:pt idx="18">
                  <c:v>0</c:v>
                </c:pt>
                <c:pt idx="19">
                  <c:v>-15</c:v>
                </c:pt>
                <c:pt idx="20">
                  <c:v>-5</c:v>
                </c:pt>
                <c:pt idx="21">
                  <c:v>-5</c:v>
                </c:pt>
                <c:pt idx="22">
                  <c:v>20</c:v>
                </c:pt>
                <c:pt idx="23">
                  <c:v>-15</c:v>
                </c:pt>
                <c:pt idx="24">
                  <c:v>0</c:v>
                </c:pt>
                <c:pt idx="25">
                  <c:v>5</c:v>
                </c:pt>
                <c:pt idx="26">
                  <c:v>15</c:v>
                </c:pt>
                <c:pt idx="27">
                  <c:v>0</c:v>
                </c:pt>
                <c:pt idx="28">
                  <c:v>0</c:v>
                </c:pt>
                <c:pt idx="29">
                  <c:v>-15</c:v>
                </c:pt>
                <c:pt idx="30">
                  <c:v>5</c:v>
                </c:pt>
                <c:pt idx="31">
                  <c:v>30</c:v>
                </c:pt>
                <c:pt idx="32">
                  <c:v>20</c:v>
                </c:pt>
                <c:pt idx="33">
                  <c:v>30</c:v>
                </c:pt>
                <c:pt idx="34">
                  <c:v>20</c:v>
                </c:pt>
                <c:pt idx="35">
                  <c:v>5</c:v>
                </c:pt>
                <c:pt idx="36">
                  <c:v>0</c:v>
                </c:pt>
                <c:pt idx="37">
                  <c:v>0</c:v>
                </c:pt>
                <c:pt idx="38">
                  <c:v>0</c:v>
                </c:pt>
                <c:pt idx="39">
                  <c:v>0</c:v>
                </c:pt>
              </c:numCache>
            </c:numRef>
          </c:val>
        </c:ser>
        <c:gapWidth val="30"/>
        <c:overlap val="0"/>
        <c:axId val="84354093"/>
        <c:axId val="7532780"/>
      </c:barChart>
      <c:catAx>
        <c:axId val="84354093"/>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808080"/>
                </a:solidFill>
                <a:latin typeface="Calibri"/>
              </a:defRPr>
            </a:pPr>
          </a:p>
        </c:txPr>
        <c:crossAx val="7532780"/>
        <c:crosses val="autoZero"/>
        <c:auto val="1"/>
        <c:lblAlgn val="ctr"/>
        <c:lblOffset val="100"/>
        <c:noMultiLvlLbl val="0"/>
      </c:catAx>
      <c:valAx>
        <c:axId val="7532780"/>
        <c:scaling>
          <c:orientation val="minMax"/>
          <c:max val="100"/>
          <c:min val="-100"/>
        </c:scaling>
        <c:delete val="0"/>
        <c:axPos val="l"/>
        <c:majorGridlines>
          <c:spPr>
            <a:ln w="9360">
              <a:solidFill>
                <a:srgbClr val="d9d9d9"/>
              </a:solidFill>
              <a:round/>
            </a:ln>
          </c:spPr>
        </c:majorGridlines>
        <c:numFmt formatCode="###0;[RED]\-###0" sourceLinked="0"/>
        <c:majorTickMark val="none"/>
        <c:minorTickMark val="none"/>
        <c:tickLblPos val="nextTo"/>
        <c:spPr>
          <a:ln w="6480">
            <a:noFill/>
          </a:ln>
        </c:spPr>
        <c:txPr>
          <a:bodyPr/>
          <a:lstStyle/>
          <a:p>
            <a:pPr>
              <a:defRPr b="0" sz="900" spc="-1" strike="noStrike">
                <a:solidFill>
                  <a:srgbClr val="808080"/>
                </a:solidFill>
                <a:latin typeface="Calibri"/>
              </a:defRPr>
            </a:pPr>
          </a:p>
        </c:txPr>
        <c:crossAx val="84354093"/>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767171"/>
                </a:solidFill>
                <a:latin typeface="Calibri"/>
              </a:defRPr>
            </a:pPr>
            <a:r>
              <a:rPr b="0" lang="en-US" sz="1200" spc="-1" strike="noStrike">
                <a:solidFill>
                  <a:srgbClr val="767171"/>
                </a:solidFill>
                <a:latin typeface="Calibri"/>
              </a:rPr>
              <a:t>Design Factor 1 Enterprise Strategy
Resulting Governance/Management Objectives Importance (Output)</a:t>
            </a:r>
          </a:p>
        </c:rich>
      </c:tx>
      <c:layout>
        <c:manualLayout>
          <c:xMode val="edge"/>
          <c:yMode val="edge"/>
          <c:x val="0.143371393216716"/>
          <c:y val="0.00667880995749848"/>
        </c:manualLayout>
      </c:layout>
      <c:overlay val="0"/>
      <c:spPr>
        <a:noFill/>
        <a:ln w="0">
          <a:noFill/>
        </a:ln>
      </c:spPr>
    </c:title>
    <c:autoTitleDeleted val="0"/>
    <c:plotArea>
      <c:radarChart>
        <c:radarStyle val="filled"/>
        <c:varyColors val="0"/>
        <c:ser>
          <c:idx val="0"/>
          <c:order val="0"/>
          <c:spPr>
            <a:solidFill>
              <a:srgbClr val="f2d2ee"/>
            </a:solidFill>
            <a:ln w="0">
              <a:solidFill>
                <a:srgbClr val="bfbfbf"/>
              </a:solid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5</c:v>
                </c:pt>
                <c:pt idx="1">
                  <c:v>15</c:v>
                </c:pt>
                <c:pt idx="2">
                  <c:v>15</c:v>
                </c:pt>
                <c:pt idx="3">
                  <c:v>-20</c:v>
                </c:pt>
                <c:pt idx="4">
                  <c:v>10</c:v>
                </c:pt>
                <c:pt idx="5">
                  <c:v>0</c:v>
                </c:pt>
                <c:pt idx="6">
                  <c:v>-10</c:v>
                </c:pt>
                <c:pt idx="7">
                  <c:v>-20</c:v>
                </c:pt>
                <c:pt idx="8">
                  <c:v>15</c:v>
                </c:pt>
                <c:pt idx="9">
                  <c:v>-10</c:v>
                </c:pt>
                <c:pt idx="10">
                  <c:v>-20</c:v>
                </c:pt>
                <c:pt idx="11">
                  <c:v>-15</c:v>
                </c:pt>
                <c:pt idx="12">
                  <c:v>25</c:v>
                </c:pt>
                <c:pt idx="13">
                  <c:v>25</c:v>
                </c:pt>
                <c:pt idx="14">
                  <c:v>-5</c:v>
                </c:pt>
                <c:pt idx="15">
                  <c:v>30</c:v>
                </c:pt>
                <c:pt idx="16">
                  <c:v>20</c:v>
                </c:pt>
                <c:pt idx="17">
                  <c:v>20</c:v>
                </c:pt>
                <c:pt idx="18">
                  <c:v>0</c:v>
                </c:pt>
                <c:pt idx="19">
                  <c:v>-15</c:v>
                </c:pt>
                <c:pt idx="20">
                  <c:v>-5</c:v>
                </c:pt>
                <c:pt idx="21">
                  <c:v>-5</c:v>
                </c:pt>
                <c:pt idx="22">
                  <c:v>20</c:v>
                </c:pt>
                <c:pt idx="23">
                  <c:v>-15</c:v>
                </c:pt>
                <c:pt idx="24">
                  <c:v>0</c:v>
                </c:pt>
                <c:pt idx="25">
                  <c:v>5</c:v>
                </c:pt>
                <c:pt idx="26">
                  <c:v>15</c:v>
                </c:pt>
                <c:pt idx="27">
                  <c:v>0</c:v>
                </c:pt>
                <c:pt idx="28">
                  <c:v>0</c:v>
                </c:pt>
                <c:pt idx="29">
                  <c:v>-15</c:v>
                </c:pt>
                <c:pt idx="30">
                  <c:v>5</c:v>
                </c:pt>
                <c:pt idx="31">
                  <c:v>30</c:v>
                </c:pt>
                <c:pt idx="32">
                  <c:v>20</c:v>
                </c:pt>
                <c:pt idx="33">
                  <c:v>30</c:v>
                </c:pt>
                <c:pt idx="34">
                  <c:v>20</c:v>
                </c:pt>
                <c:pt idx="35">
                  <c:v>5</c:v>
                </c:pt>
                <c:pt idx="36">
                  <c:v>0</c:v>
                </c:pt>
                <c:pt idx="37">
                  <c:v>0</c:v>
                </c:pt>
                <c:pt idx="38">
                  <c:v>0</c:v>
                </c:pt>
                <c:pt idx="39">
                  <c:v>0</c:v>
                </c:pt>
              </c:numCache>
            </c:numRef>
          </c:val>
        </c:ser>
        <c:axId val="8060763"/>
        <c:axId val="38322864"/>
      </c:radarChart>
      <c:catAx>
        <c:axId val="8060763"/>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38322864"/>
        <c:crosses val="autoZero"/>
        <c:auto val="1"/>
        <c:lblAlgn val="ctr"/>
        <c:lblOffset val="100"/>
        <c:noMultiLvlLbl val="0"/>
      </c:catAx>
      <c:valAx>
        <c:axId val="38322864"/>
        <c:scaling>
          <c:orientation val="minMax"/>
          <c:max val="100"/>
          <c:min val="-100"/>
        </c:scaling>
        <c:delete val="0"/>
        <c:axPos val="l"/>
        <c:majorGridlines>
          <c:spPr>
            <a:ln w="9360">
              <a:solidFill>
                <a:srgbClr val="d9d9d9"/>
              </a:solidFill>
              <a:round/>
            </a:ln>
          </c:spPr>
        </c:majorGridlines>
        <c:numFmt formatCode="###0;[RED]\-###0"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8060763"/>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8" strike="noStrike">
                <a:solidFill>
                  <a:srgbClr val="808080"/>
                </a:solidFill>
                <a:latin typeface="Calibri"/>
              </a:defRPr>
            </a:pPr>
            <a:r>
              <a:rPr b="0" lang="en-US" sz="1200" spc="18" strike="noStrike">
                <a:solidFill>
                  <a:srgbClr val="808080"/>
                </a:solidFill>
                <a:latin typeface="Calibri"/>
              </a:rPr>
              <a:t>Design Factor 1 Enterprise Strategy
Importance of different strategies (Input) </a:t>
            </a:r>
          </a:p>
        </c:rich>
      </c:tx>
      <c:overlay val="0"/>
      <c:spPr>
        <a:noFill/>
        <a:ln w="0">
          <a:noFill/>
        </a:ln>
      </c:spPr>
    </c:title>
    <c:autoTitleDeleted val="0"/>
    <c:plotArea>
      <c:layout>
        <c:manualLayout>
          <c:layoutTarget val="inner"/>
          <c:xMode val="edge"/>
          <c:yMode val="edge"/>
          <c:x val="0.228405363411406"/>
          <c:y val="0.169809047647732"/>
          <c:w val="0.539506243885596"/>
          <c:h val="0.777784470815011"/>
        </c:manualLayout>
      </c:layout>
      <c:radarChart>
        <c:radarStyle val="marker"/>
        <c:varyColors val="1"/>
        <c:ser>
          <c:idx val="0"/>
          <c:order val="0"/>
          <c:spPr>
            <a:solidFill>
              <a:srgbClr val="4472c4"/>
            </a:solidFill>
            <a:ln w="19080">
              <a:solidFill>
                <a:srgbClr val="4472c4"/>
              </a:solidFill>
              <a:round/>
            </a:ln>
          </c:spPr>
          <c:marker>
            <c:symbol val="circle"/>
            <c:size val="4"/>
            <c:spPr>
              <a:solidFill>
                <a:srgbClr val="4472c4"/>
              </a:solidFill>
            </c:spPr>
          </c:marker>
          <c:dPt>
            <c:idx val="0"/>
            <c:spPr>
              <a:solidFill>
                <a:srgbClr val="4472c4"/>
              </a:solidFill>
              <a:ln cap="rnd" w="15840">
                <a:solidFill>
                  <a:srgbClr val="4472c4"/>
                </a:solidFill>
                <a:round/>
              </a:ln>
            </c:spPr>
          </c:dPt>
          <c:dPt>
            <c:idx val="1"/>
            <c:spPr>
              <a:solidFill>
                <a:srgbClr val="ed7d31"/>
              </a:solidFill>
              <a:ln cap="rnd" w="15840">
                <a:solidFill>
                  <a:srgbClr val="ed7d31"/>
                </a:solidFill>
                <a:round/>
              </a:ln>
            </c:spPr>
          </c:dPt>
          <c:dPt>
            <c:idx val="2"/>
            <c:spPr>
              <a:solidFill>
                <a:srgbClr val="a5a5a5"/>
              </a:solidFill>
              <a:ln cap="rnd" w="15840">
                <a:solidFill>
                  <a:srgbClr val="a5a5a5"/>
                </a:solidFill>
                <a:round/>
              </a:ln>
            </c:spPr>
          </c:dPt>
          <c:dPt>
            <c:idx val="3"/>
            <c:spPr>
              <a:solidFill>
                <a:srgbClr val="ffc000"/>
              </a:solidFill>
              <a:ln cap="rnd" w="15840">
                <a:solidFill>
                  <a:srgbClr val="ffc000"/>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DF1!$B$7:$B$10</c:f>
              <c:strCache>
                <c:ptCount val="4"/>
                <c:pt idx="0">
                  <c:v/>
                </c:pt>
                <c:pt idx="1">
                  <c:v/>
                </c:pt>
                <c:pt idx="2">
                  <c:v/>
                </c:pt>
                <c:pt idx="3">
                  <c:v/>
                </c:pt>
              </c:strCache>
            </c:strRef>
          </c:cat>
          <c:val>
            <c:numRef>
              <c:f>DF1!$D$7:$D$10</c:f>
              <c:numCache>
                <c:formatCode>0</c:formatCode>
                <c:ptCount val="4"/>
                <c:pt idx="0">
                  <c:v>1</c:v>
                </c:pt>
                <c:pt idx="1">
                  <c:v>4</c:v>
                </c:pt>
                <c:pt idx="2">
                  <c:v>2</c:v>
                </c:pt>
                <c:pt idx="3">
                  <c:v>5</c:v>
                </c:pt>
              </c:numCache>
            </c:numRef>
          </c:val>
        </c:ser>
        <c:axId val="58158520"/>
        <c:axId val="44137471"/>
      </c:radarChart>
      <c:catAx>
        <c:axId val="58158520"/>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1000" spc="-1" strike="noStrike">
                <a:solidFill>
                  <a:srgbClr val="808080"/>
                </a:solidFill>
                <a:latin typeface="Calibri"/>
              </a:defRPr>
            </a:pPr>
          </a:p>
        </c:txPr>
        <c:crossAx val="44137471"/>
        <c:crosses val="autoZero"/>
        <c:auto val="1"/>
        <c:lblAlgn val="ctr"/>
        <c:lblOffset val="100"/>
        <c:noMultiLvlLbl val="0"/>
      </c:catAx>
      <c:valAx>
        <c:axId val="44137471"/>
        <c:scaling>
          <c:orientation val="minMax"/>
          <c:max val="5"/>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sz="900" spc="-1" strike="noStrike">
                <a:solidFill>
                  <a:srgbClr val="808080"/>
                </a:solidFill>
                <a:latin typeface="Calibri"/>
              </a:defRPr>
            </a:pPr>
          </a:p>
        </c:txPr>
        <c:crossAx val="58158520"/>
        <c:crosses val="autoZero"/>
        <c:crossBetween val="midCat"/>
        <c:majorUnit val="1"/>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8" strike="noStrike">
                <a:solidFill>
                  <a:srgbClr val="000000"/>
                </a:solidFill>
                <a:latin typeface="Calibri"/>
              </a:defRPr>
            </a:pPr>
            <a:r>
              <a:rPr b="0" lang="en-US" sz="1200" spc="18" strike="noStrike">
                <a:solidFill>
                  <a:srgbClr val="000000"/>
                </a:solidFill>
                <a:latin typeface="Calibri"/>
              </a:rPr>
              <a:t>Design Factor 2 Enterprise Goals (Input) </a:t>
            </a:r>
          </a:p>
        </c:rich>
      </c:tx>
      <c:overlay val="0"/>
      <c:spPr>
        <a:noFill/>
        <a:ln w="0">
          <a:noFill/>
        </a:ln>
      </c:spPr>
    </c:title>
    <c:autoTitleDeleted val="0"/>
    <c:plotArea>
      <c:radarChart>
        <c:radarStyle val="filled"/>
        <c:varyColors val="0"/>
        <c:ser>
          <c:idx val="0"/>
          <c:order val="0"/>
          <c:spPr>
            <a:gradFill>
              <a:gsLst>
                <a:gs pos="0">
                  <a:srgbClr val="bdc7e5"/>
                </a:gs>
                <a:gs pos="50000">
                  <a:srgbClr val="a4b3dc"/>
                </a:gs>
                <a:gs pos="100000">
                  <a:srgbClr val="8fa3d8"/>
                </a:gs>
              </a:gsLst>
              <a:lin ang="5400000"/>
            </a:gradFill>
            <a:ln w="9360">
              <a:solidFill>
                <a:srgbClr val="426fbf"/>
              </a:solidFill>
              <a:round/>
            </a:ln>
          </c:spPr>
          <c:dPt>
            <c:idx val="0"/>
            <c:spPr>
              <a:solidFill>
                <a:srgbClr val="4472c4"/>
              </a:solidFill>
              <a:ln w="0">
                <a:noFill/>
              </a:ln>
            </c:spPr>
          </c:dPt>
          <c:dPt>
            <c:idx val="12"/>
            <c:spPr>
              <a:solidFill>
                <a:srgbClr val="4472c4"/>
              </a:solidFill>
              <a:ln w="0">
                <a:noFill/>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DF2!$A$6:$A$18</c:f>
              <c:strCache>
                <c:ptCount val="13"/>
                <c:pt idx="0">
                  <c:v>EG01—Portafolio de productos y servicios competitivos</c:v>
                </c:pt>
                <c:pt idx="1">
                  <c:v>EG02—Gestion de riesgo del negocio</c:v>
                </c:pt>
                <c:pt idx="2">
                  <c:v>EG03—Cumplimiento de leyes y regulaciones externas</c:v>
                </c:pt>
                <c:pt idx="3">
                  <c:v>EG04—Calidad de la informacion financiera</c:v>
                </c:pt>
                <c:pt idx="4">
                  <c:v>EG05—Cultura de servicio orientada al cliente</c:v>
                </c:pt>
                <c:pt idx="5">
                  <c:v>EG06—Continuidad y disponibilidad de los servicios del negocio</c:v>
                </c:pt>
                <c:pt idx="6">
                  <c:v>EG07—Calidad de la información y gestión</c:v>
                </c:pt>
                <c:pt idx="7">
                  <c:v>EG08—Optimización de la funcionalidad de los procesos internos del negocio</c:v>
                </c:pt>
                <c:pt idx="8">
                  <c:v>EG09—Optimización de costos de los procesos de negocio</c:v>
                </c:pt>
                <c:pt idx="9">
                  <c:v>EG10—Habilidades, motivación y productividad del personal</c:v>
                </c:pt>
                <c:pt idx="10">
                  <c:v>EG11—Cumplimiento de las politicas internas</c:v>
                </c:pt>
                <c:pt idx="11">
                  <c:v>EG12—Gestión de programas de transformacion digital</c:v>
                </c:pt>
                <c:pt idx="12">
                  <c:v>EG13—Innovación de productos y negocios</c:v>
                </c:pt>
              </c:strCache>
            </c:strRef>
          </c:cat>
          <c:val>
            <c:numRef>
              <c:f>DF2!$E$6:$E$18</c:f>
              <c:numCache>
                <c:formatCode>General</c:formatCode>
                <c:ptCount val="13"/>
                <c:pt idx="0">
                  <c:v>2</c:v>
                </c:pt>
                <c:pt idx="1">
                  <c:v>4</c:v>
                </c:pt>
                <c:pt idx="2">
                  <c:v>2</c:v>
                </c:pt>
                <c:pt idx="3">
                  <c:v>2</c:v>
                </c:pt>
                <c:pt idx="4">
                  <c:v>2</c:v>
                </c:pt>
                <c:pt idx="5">
                  <c:v>4</c:v>
                </c:pt>
                <c:pt idx="6">
                  <c:v>4</c:v>
                </c:pt>
                <c:pt idx="7">
                  <c:v>5</c:v>
                </c:pt>
                <c:pt idx="8">
                  <c:v>1</c:v>
                </c:pt>
                <c:pt idx="9">
                  <c:v>2</c:v>
                </c:pt>
                <c:pt idx="10">
                  <c:v>4</c:v>
                </c:pt>
                <c:pt idx="11">
                  <c:v>4</c:v>
                </c:pt>
                <c:pt idx="12">
                  <c:v>3</c:v>
                </c:pt>
              </c:numCache>
            </c:numRef>
          </c:val>
        </c:ser>
        <c:axId val="96371250"/>
        <c:axId val="15489351"/>
      </c:radarChart>
      <c:catAx>
        <c:axId val="96371250"/>
        <c:scaling>
          <c:orientation val="maxMin"/>
        </c:scaling>
        <c:delete val="0"/>
        <c:axPos val="b"/>
        <c:numFmt formatCode="General" sourceLinked="0"/>
        <c:majorTickMark val="none"/>
        <c:minorTickMark val="none"/>
        <c:tickLblPos val="nextTo"/>
        <c:spPr>
          <a:ln w="9360">
            <a:noFill/>
          </a:ln>
        </c:spPr>
        <c:txPr>
          <a:bodyPr/>
          <a:lstStyle/>
          <a:p>
            <a:pPr>
              <a:defRPr b="1" sz="1000" spc="-1" strike="noStrike">
                <a:solidFill>
                  <a:srgbClr val="808080"/>
                </a:solidFill>
                <a:latin typeface="Calibri"/>
              </a:defRPr>
            </a:pPr>
          </a:p>
        </c:txPr>
        <c:crossAx val="15489351"/>
        <c:crosses val="autoZero"/>
        <c:auto val="1"/>
        <c:lblAlgn val="ctr"/>
        <c:lblOffset val="100"/>
        <c:noMultiLvlLbl val="0"/>
      </c:catAx>
      <c:valAx>
        <c:axId val="15489351"/>
        <c:scaling>
          <c:orientation val="minMax"/>
          <c:max val="5"/>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808080"/>
                </a:solidFill>
                <a:latin typeface="Calibri"/>
              </a:defRPr>
            </a:pPr>
          </a:p>
        </c:txPr>
        <c:crossAx val="96371250"/>
        <c:crosses val="autoZero"/>
        <c:crossBetween val="midCat"/>
        <c:majorUnit val="1"/>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2 Enterprise Goals
Resulting Governance/ Management Objectives Importance</a:t>
            </a:r>
          </a:p>
        </c:rich>
      </c:tx>
      <c:layout>
        <c:manualLayout>
          <c:xMode val="edge"/>
          <c:yMode val="edge"/>
          <c:x val="0.127253859125697"/>
          <c:y val="0.0582698341550874"/>
        </c:manualLayout>
      </c:layout>
      <c:overlay val="0"/>
      <c:spPr>
        <a:noFill/>
        <a:ln w="0">
          <a:noFill/>
        </a:ln>
      </c:spPr>
    </c:title>
    <c:autoTitleDeleted val="0"/>
    <c:plotArea>
      <c:layout>
        <c:manualLayout>
          <c:layoutTarget val="inner"/>
          <c:xMode val="edge"/>
          <c:yMode val="edge"/>
          <c:x val="0.0927487352445194"/>
          <c:y val="0.21340206185567"/>
          <c:w val="0.820729018030873"/>
          <c:h val="0.764051994621246"/>
        </c:manualLayout>
      </c:layout>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0</c:v>
                </c:pt>
                <c:pt idx="2">
                  <c:v>20</c:v>
                </c:pt>
                <c:pt idx="3">
                  <c:v>0</c:v>
                </c:pt>
                <c:pt idx="4">
                  <c:v>-10</c:v>
                </c:pt>
                <c:pt idx="5">
                  <c:v>5</c:v>
                </c:pt>
                <c:pt idx="6">
                  <c:v>-5</c:v>
                </c:pt>
                <c:pt idx="7">
                  <c:v>-5</c:v>
                </c:pt>
                <c:pt idx="8">
                  <c:v>-5</c:v>
                </c:pt>
                <c:pt idx="9">
                  <c:v>0</c:v>
                </c:pt>
                <c:pt idx="10">
                  <c:v>-10</c:v>
                </c:pt>
                <c:pt idx="11">
                  <c:v>-5</c:v>
                </c:pt>
                <c:pt idx="12">
                  <c:v>-5</c:v>
                </c:pt>
                <c:pt idx="13">
                  <c:v>0</c:v>
                </c:pt>
                <c:pt idx="14">
                  <c:v>0</c:v>
                </c:pt>
                <c:pt idx="15">
                  <c:v>-5</c:v>
                </c:pt>
                <c:pt idx="16">
                  <c:v>35</c:v>
                </c:pt>
                <c:pt idx="17">
                  <c:v>25</c:v>
                </c:pt>
                <c:pt idx="18">
                  <c:v>-5</c:v>
                </c:pt>
                <c:pt idx="19">
                  <c:v>-5</c:v>
                </c:pt>
                <c:pt idx="20">
                  <c:v>0</c:v>
                </c:pt>
                <c:pt idx="21">
                  <c:v>0</c:v>
                </c:pt>
                <c:pt idx="22">
                  <c:v>5</c:v>
                </c:pt>
                <c:pt idx="23">
                  <c:v>-10</c:v>
                </c:pt>
                <c:pt idx="24">
                  <c:v>5</c:v>
                </c:pt>
                <c:pt idx="25">
                  <c:v>5</c:v>
                </c:pt>
                <c:pt idx="26">
                  <c:v>-5</c:v>
                </c:pt>
                <c:pt idx="27">
                  <c:v>-20</c:v>
                </c:pt>
                <c:pt idx="28">
                  <c:v>5</c:v>
                </c:pt>
                <c:pt idx="29">
                  <c:v>0</c:v>
                </c:pt>
                <c:pt idx="30">
                  <c:v>0</c:v>
                </c:pt>
                <c:pt idx="31">
                  <c:v>15</c:v>
                </c:pt>
                <c:pt idx="32">
                  <c:v>0</c:v>
                </c:pt>
                <c:pt idx="33">
                  <c:v>15</c:v>
                </c:pt>
                <c:pt idx="34">
                  <c:v>15</c:v>
                </c:pt>
                <c:pt idx="35">
                  <c:v>5</c:v>
                </c:pt>
                <c:pt idx="36">
                  <c:v>0</c:v>
                </c:pt>
                <c:pt idx="37">
                  <c:v>0</c:v>
                </c:pt>
                <c:pt idx="38">
                  <c:v>5</c:v>
                </c:pt>
                <c:pt idx="39">
                  <c:v>5</c:v>
                </c:pt>
              </c:numCache>
            </c:numRef>
          </c:val>
        </c:ser>
        <c:gapWidth val="30"/>
        <c:overlap val="0"/>
        <c:axId val="20053778"/>
        <c:axId val="81021103"/>
      </c:barChart>
      <c:catAx>
        <c:axId val="20053778"/>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1021103"/>
        <c:crosses val="autoZero"/>
        <c:auto val="1"/>
        <c:lblAlgn val="ctr"/>
        <c:lblOffset val="100"/>
        <c:noMultiLvlLbl val="0"/>
      </c:catAx>
      <c:valAx>
        <c:axId val="81021103"/>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20053778"/>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2 Enterprise Goals
Resulting Governance/Management Objectives Importance</a:t>
            </a:r>
          </a:p>
        </c:rich>
      </c:tx>
      <c:layout>
        <c:manualLayout>
          <c:xMode val="edge"/>
          <c:yMode val="edge"/>
          <c:x val="0.192156629373959"/>
          <c:y val="0.0377299377881216"/>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0</c:v>
                </c:pt>
                <c:pt idx="2">
                  <c:v>20</c:v>
                </c:pt>
                <c:pt idx="3">
                  <c:v>0</c:v>
                </c:pt>
                <c:pt idx="4">
                  <c:v>-10</c:v>
                </c:pt>
                <c:pt idx="5">
                  <c:v>5</c:v>
                </c:pt>
                <c:pt idx="6">
                  <c:v>-5</c:v>
                </c:pt>
                <c:pt idx="7">
                  <c:v>-5</c:v>
                </c:pt>
                <c:pt idx="8">
                  <c:v>-5</c:v>
                </c:pt>
                <c:pt idx="9">
                  <c:v>0</c:v>
                </c:pt>
                <c:pt idx="10">
                  <c:v>-10</c:v>
                </c:pt>
                <c:pt idx="11">
                  <c:v>-5</c:v>
                </c:pt>
                <c:pt idx="12">
                  <c:v>-5</c:v>
                </c:pt>
                <c:pt idx="13">
                  <c:v>0</c:v>
                </c:pt>
                <c:pt idx="14">
                  <c:v>0</c:v>
                </c:pt>
                <c:pt idx="15">
                  <c:v>-5</c:v>
                </c:pt>
                <c:pt idx="16">
                  <c:v>35</c:v>
                </c:pt>
                <c:pt idx="17">
                  <c:v>25</c:v>
                </c:pt>
                <c:pt idx="18">
                  <c:v>-5</c:v>
                </c:pt>
                <c:pt idx="19">
                  <c:v>-5</c:v>
                </c:pt>
                <c:pt idx="20">
                  <c:v>0</c:v>
                </c:pt>
                <c:pt idx="21">
                  <c:v>0</c:v>
                </c:pt>
                <c:pt idx="22">
                  <c:v>5</c:v>
                </c:pt>
                <c:pt idx="23">
                  <c:v>-10</c:v>
                </c:pt>
                <c:pt idx="24">
                  <c:v>5</c:v>
                </c:pt>
                <c:pt idx="25">
                  <c:v>5</c:v>
                </c:pt>
                <c:pt idx="26">
                  <c:v>-5</c:v>
                </c:pt>
                <c:pt idx="27">
                  <c:v>-20</c:v>
                </c:pt>
                <c:pt idx="28">
                  <c:v>5</c:v>
                </c:pt>
                <c:pt idx="29">
                  <c:v>0</c:v>
                </c:pt>
                <c:pt idx="30">
                  <c:v>0</c:v>
                </c:pt>
                <c:pt idx="31">
                  <c:v>15</c:v>
                </c:pt>
                <c:pt idx="32">
                  <c:v>0</c:v>
                </c:pt>
                <c:pt idx="33">
                  <c:v>15</c:v>
                </c:pt>
                <c:pt idx="34">
                  <c:v>15</c:v>
                </c:pt>
                <c:pt idx="35">
                  <c:v>5</c:v>
                </c:pt>
                <c:pt idx="36">
                  <c:v>0</c:v>
                </c:pt>
                <c:pt idx="37">
                  <c:v>0</c:v>
                </c:pt>
                <c:pt idx="38">
                  <c:v>5</c:v>
                </c:pt>
                <c:pt idx="39">
                  <c:v>5</c:v>
                </c:pt>
              </c:numCache>
            </c:numRef>
          </c:val>
        </c:ser>
        <c:axId val="19203101"/>
        <c:axId val="30411633"/>
      </c:radarChart>
      <c:catAx>
        <c:axId val="19203101"/>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30411633"/>
        <c:crosses val="autoZero"/>
        <c:auto val="1"/>
        <c:lblAlgn val="ctr"/>
        <c:lblOffset val="100"/>
        <c:noMultiLvlLbl val="0"/>
      </c:catAx>
      <c:valAx>
        <c:axId val="30411633"/>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19203101"/>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100" spc="18" strike="noStrike">
                <a:solidFill>
                  <a:srgbClr val="404040"/>
                </a:solidFill>
                <a:latin typeface="Calibri"/>
              </a:defRPr>
            </a:pPr>
            <a:r>
              <a:rPr b="0" lang="en-US" sz="1100" spc="18" strike="noStrike">
                <a:solidFill>
                  <a:srgbClr val="404040"/>
                </a:solidFill>
                <a:latin typeface="Calibri"/>
              </a:rPr>
              <a:t>Design Factor 2 Enterprise Goals (Input)  </a:t>
            </a:r>
          </a:p>
        </c:rich>
      </c:tx>
      <c:overlay val="0"/>
      <c:spPr>
        <a:noFill/>
        <a:ln w="0">
          <a:noFill/>
        </a:ln>
      </c:spPr>
    </c:title>
    <c:autoTitleDeleted val="0"/>
    <c:plotArea>
      <c:barChart>
        <c:barDir val="bar"/>
        <c:grouping val="clustered"/>
        <c:varyColors val="1"/>
        <c:ser>
          <c:idx val="0"/>
          <c:order val="0"/>
          <c:spPr>
            <a:solidFill>
              <a:srgbClr val="4472c4"/>
            </a:solidFill>
            <a:ln w="0">
              <a:noFill/>
            </a:ln>
          </c:spPr>
          <c:invertIfNegative val="0"/>
          <c:dPt>
            <c:idx val="0"/>
            <c:spPr>
              <a:gradFill>
                <a:gsLst>
                  <a:gs pos="0">
                    <a:srgbClr val="bdc7e5"/>
                  </a:gs>
                  <a:gs pos="50000">
                    <a:srgbClr val="a4b3dc"/>
                  </a:gs>
                  <a:gs pos="100000">
                    <a:srgbClr val="8fa3d8"/>
                  </a:gs>
                </a:gsLst>
                <a:lin ang="5400000"/>
              </a:gradFill>
              <a:ln w="9360">
                <a:solidFill>
                  <a:srgbClr val="426fbf"/>
                </a:solidFill>
                <a:round/>
              </a:ln>
            </c:spPr>
          </c:dPt>
          <c:dPt>
            <c:idx val="1"/>
            <c:spPr>
              <a:gradFill>
                <a:gsLst>
                  <a:gs pos="0">
                    <a:srgbClr val="f9d0c2"/>
                  </a:gs>
                  <a:gs pos="50000">
                    <a:srgbClr val="f5baa4"/>
                  </a:gs>
                  <a:gs pos="100000">
                    <a:srgbClr val="f6aa8c"/>
                  </a:gs>
                </a:gsLst>
                <a:lin ang="5400000"/>
              </a:gradFill>
              <a:ln w="9360">
                <a:solidFill>
                  <a:srgbClr val="e77a2f"/>
                </a:solidFill>
                <a:round/>
              </a:ln>
            </c:spPr>
          </c:dPt>
          <c:dPt>
            <c:idx val="2"/>
            <c:spPr>
              <a:gradFill>
                <a:gsLst>
                  <a:gs pos="0">
                    <a:srgbClr val="dcdcdc"/>
                  </a:gs>
                  <a:gs pos="50000">
                    <a:srgbClr val="cccccc"/>
                  </a:gs>
                  <a:gs pos="100000">
                    <a:srgbClr val="c3c3c3"/>
                  </a:gs>
                </a:gsLst>
                <a:lin ang="5400000"/>
              </a:gradFill>
              <a:ln w="9360">
                <a:solidFill>
                  <a:srgbClr val="a1a1a1"/>
                </a:solidFill>
                <a:round/>
              </a:ln>
            </c:spPr>
          </c:dPt>
          <c:dPt>
            <c:idx val="3"/>
            <c:spPr>
              <a:gradFill>
                <a:gsLst>
                  <a:gs pos="0">
                    <a:srgbClr val="ffe8c6"/>
                  </a:gs>
                  <a:gs pos="50000">
                    <a:srgbClr val="ffdba4"/>
                  </a:gs>
                  <a:gs pos="100000">
                    <a:srgbClr val="ffd48e"/>
                  </a:gs>
                </a:gsLst>
                <a:lin ang="5400000"/>
              </a:gradFill>
              <a:ln w="9360">
                <a:solidFill>
                  <a:srgbClr val="f9bb00"/>
                </a:solidFill>
                <a:round/>
              </a:ln>
            </c:spPr>
          </c:dPt>
          <c:dPt>
            <c:idx val="4"/>
            <c:spPr>
              <a:gradFill>
                <a:gsLst>
                  <a:gs pos="0">
                    <a:srgbClr val="c6d8ee"/>
                  </a:gs>
                  <a:gs pos="50000">
                    <a:srgbClr val="adc7e6"/>
                  </a:gs>
                  <a:gs pos="100000">
                    <a:srgbClr val="9abce4"/>
                  </a:gs>
                </a:gsLst>
                <a:lin ang="5400000"/>
              </a:gradFill>
              <a:ln w="9360">
                <a:solidFill>
                  <a:srgbClr val="5897d0"/>
                </a:solidFill>
                <a:round/>
              </a:ln>
            </c:spPr>
          </c:dPt>
          <c:dPt>
            <c:idx val="5"/>
            <c:spPr>
              <a:gradFill>
                <a:gsLst>
                  <a:gs pos="0">
                    <a:srgbClr val="c4dabb"/>
                  </a:gs>
                  <a:gs pos="50000">
                    <a:srgbClr val="b0cea3"/>
                  </a:gs>
                  <a:gs pos="100000">
                    <a:srgbClr val="a1c88f"/>
                  </a:gs>
                </a:gsLst>
                <a:lin ang="5400000"/>
              </a:gradFill>
              <a:ln w="9360">
                <a:solidFill>
                  <a:srgbClr val="6da945"/>
                </a:solidFill>
                <a:round/>
              </a:ln>
            </c:spPr>
          </c:dPt>
          <c:dPt>
            <c:idx val="6"/>
            <c:spPr>
              <a:gradFill>
                <a:gsLst>
                  <a:gs pos="0">
                    <a:srgbClr val="bdc7e5"/>
                  </a:gs>
                  <a:gs pos="50000">
                    <a:srgbClr val="a4b3dc"/>
                  </a:gs>
                  <a:gs pos="100000">
                    <a:srgbClr val="8fa3d8"/>
                  </a:gs>
                </a:gsLst>
                <a:lin ang="5400000"/>
              </a:gradFill>
              <a:ln w="9360">
                <a:solidFill>
                  <a:srgbClr val="274273"/>
                </a:solidFill>
                <a:round/>
              </a:ln>
            </c:spPr>
          </c:dPt>
          <c:dPt>
            <c:idx val="7"/>
            <c:spPr>
              <a:gradFill>
                <a:gsLst>
                  <a:gs pos="0">
                    <a:srgbClr val="f9d0c2"/>
                  </a:gs>
                  <a:gs pos="50000">
                    <a:srgbClr val="f5baa4"/>
                  </a:gs>
                  <a:gs pos="100000">
                    <a:srgbClr val="f6aa8c"/>
                  </a:gs>
                </a:gsLst>
                <a:lin ang="5400000"/>
              </a:gradFill>
              <a:ln w="9360">
                <a:solidFill>
                  <a:srgbClr val="964711"/>
                </a:solidFill>
                <a:round/>
              </a:ln>
            </c:spPr>
          </c:dPt>
          <c:dPt>
            <c:idx val="8"/>
            <c:spPr>
              <a:gradFill>
                <a:gsLst>
                  <a:gs pos="0">
                    <a:srgbClr val="dcdcdc"/>
                  </a:gs>
                  <a:gs pos="50000">
                    <a:srgbClr val="cccccc"/>
                  </a:gs>
                  <a:gs pos="100000">
                    <a:srgbClr val="c3c3c3"/>
                  </a:gs>
                </a:gsLst>
                <a:lin ang="5400000"/>
              </a:gradFill>
              <a:ln w="9360">
                <a:solidFill>
                  <a:srgbClr val="616161"/>
                </a:solidFill>
                <a:round/>
              </a:ln>
            </c:spPr>
          </c:dPt>
          <c:dPt>
            <c:idx val="9"/>
            <c:spPr>
              <a:gradFill>
                <a:gsLst>
                  <a:gs pos="0">
                    <a:srgbClr val="ffe8c6"/>
                  </a:gs>
                  <a:gs pos="50000">
                    <a:srgbClr val="ffdba4"/>
                  </a:gs>
                  <a:gs pos="100000">
                    <a:srgbClr val="ffd48e"/>
                  </a:gs>
                </a:gsLst>
                <a:lin ang="5400000"/>
              </a:gradFill>
              <a:ln w="9360">
                <a:solidFill>
                  <a:srgbClr val="957000"/>
                </a:solidFill>
                <a:round/>
              </a:ln>
            </c:spPr>
          </c:dPt>
          <c:dPt>
            <c:idx val="10"/>
            <c:spPr>
              <a:gradFill>
                <a:gsLst>
                  <a:gs pos="0">
                    <a:srgbClr val="c6d8ee"/>
                  </a:gs>
                  <a:gs pos="50000">
                    <a:srgbClr val="adc7e6"/>
                  </a:gs>
                  <a:gs pos="100000">
                    <a:srgbClr val="9abce4"/>
                  </a:gs>
                </a:gsLst>
                <a:lin ang="5400000"/>
              </a:gradFill>
              <a:ln w="9360">
                <a:solidFill>
                  <a:srgbClr val="275b8b"/>
                </a:solidFill>
                <a:round/>
              </a:ln>
            </c:spPr>
          </c:dPt>
          <c:dPt>
            <c:idx val="11"/>
            <c:spPr>
              <a:gradFill>
                <a:gsLst>
                  <a:gs pos="0">
                    <a:srgbClr val="c4dabb"/>
                  </a:gs>
                  <a:gs pos="50000">
                    <a:srgbClr val="b0cea3"/>
                  </a:gs>
                  <a:gs pos="100000">
                    <a:srgbClr val="a1c88f"/>
                  </a:gs>
                </a:gsLst>
                <a:lin ang="5400000"/>
              </a:gradFill>
              <a:ln w="9360">
                <a:solidFill>
                  <a:srgbClr val="416529"/>
                </a:solidFill>
                <a:round/>
              </a:ln>
            </c:spPr>
          </c:dPt>
          <c:dPt>
            <c:idx val="12"/>
            <c:spPr>
              <a:gradFill>
                <a:gsLst>
                  <a:gs pos="0">
                    <a:srgbClr val="ffffff"/>
                  </a:gs>
                  <a:gs pos="50000">
                    <a:srgbClr val="eef1f8"/>
                  </a:gs>
                  <a:gs pos="100000">
                    <a:srgbClr val="dbe1f2"/>
                  </a:gs>
                </a:gsLst>
                <a:lin ang="5400000"/>
              </a:gradFill>
              <a:ln w="9360">
                <a:solidFill>
                  <a:srgbClr val="688ccc"/>
                </a:solidFill>
                <a:round/>
              </a:ln>
            </c:spPr>
          </c:dPt>
          <c:dLbls>
            <c:numFmt formatCode="General" sourceLinked="1"/>
            <c:dLbl>
              <c:idx val="0"/>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1"/>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2"/>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3"/>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4"/>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5"/>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6"/>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7"/>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8"/>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9"/>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10"/>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11"/>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dLbl>
              <c:idx val="12"/>
              <c:numFmt formatCode="General"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dLbl>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DF2!$A$6:$A$18</c:f>
              <c:strCache>
                <c:ptCount val="13"/>
                <c:pt idx="0">
                  <c:v>EG01—Portafolio de productos y servicios competitivos</c:v>
                </c:pt>
                <c:pt idx="1">
                  <c:v>EG02—Gestion de riesgo del negocio</c:v>
                </c:pt>
                <c:pt idx="2">
                  <c:v>EG03—Cumplimiento de leyes y regulaciones externas</c:v>
                </c:pt>
                <c:pt idx="3">
                  <c:v>EG04—Calidad de la informacion financiera</c:v>
                </c:pt>
                <c:pt idx="4">
                  <c:v>EG05—Cultura de servicio orientada al cliente</c:v>
                </c:pt>
                <c:pt idx="5">
                  <c:v>EG06—Continuidad y disponibilidad de los servicios del negocio</c:v>
                </c:pt>
                <c:pt idx="6">
                  <c:v>EG07—Calidad de la información y gestión</c:v>
                </c:pt>
                <c:pt idx="7">
                  <c:v>EG08—Optimización de la funcionalidad de los procesos internos del negocio</c:v>
                </c:pt>
                <c:pt idx="8">
                  <c:v>EG09—Optimización de costos de los procesos de negocio</c:v>
                </c:pt>
                <c:pt idx="9">
                  <c:v>EG10—Habilidades, motivación y productividad del personal</c:v>
                </c:pt>
                <c:pt idx="10">
                  <c:v>EG11—Cumplimiento de las politicas internas</c:v>
                </c:pt>
                <c:pt idx="11">
                  <c:v>EG12—Gestión de programas de transformacion digital</c:v>
                </c:pt>
                <c:pt idx="12">
                  <c:v>EG13—Innovación de productos y negocios</c:v>
                </c:pt>
              </c:strCache>
            </c:strRef>
          </c:cat>
          <c:val>
            <c:numRef>
              <c:f>DF2!$E$6:$E$18</c:f>
              <c:numCache>
                <c:formatCode>General</c:formatCode>
                <c:ptCount val="13"/>
                <c:pt idx="0">
                  <c:v>2</c:v>
                </c:pt>
                <c:pt idx="1">
                  <c:v>4</c:v>
                </c:pt>
                <c:pt idx="2">
                  <c:v>2</c:v>
                </c:pt>
                <c:pt idx="3">
                  <c:v>2</c:v>
                </c:pt>
                <c:pt idx="4">
                  <c:v>2</c:v>
                </c:pt>
                <c:pt idx="5">
                  <c:v>4</c:v>
                </c:pt>
                <c:pt idx="6">
                  <c:v>4</c:v>
                </c:pt>
                <c:pt idx="7">
                  <c:v>5</c:v>
                </c:pt>
                <c:pt idx="8">
                  <c:v>1</c:v>
                </c:pt>
                <c:pt idx="9">
                  <c:v>2</c:v>
                </c:pt>
                <c:pt idx="10">
                  <c:v>4</c:v>
                </c:pt>
                <c:pt idx="11">
                  <c:v>4</c:v>
                </c:pt>
                <c:pt idx="12">
                  <c:v>3</c:v>
                </c:pt>
              </c:numCache>
            </c:numRef>
          </c:val>
        </c:ser>
        <c:gapWidth val="55"/>
        <c:overlap val="0"/>
        <c:axId val="3604287"/>
        <c:axId val="92441985"/>
      </c:barChart>
      <c:catAx>
        <c:axId val="3604287"/>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808080"/>
                </a:solidFill>
                <a:latin typeface="Calibri"/>
              </a:defRPr>
            </a:pPr>
          </a:p>
        </c:txPr>
        <c:crossAx val="92441985"/>
        <c:crosses val="autoZero"/>
        <c:auto val="1"/>
        <c:lblAlgn val="ctr"/>
        <c:lblOffset val="100"/>
        <c:noMultiLvlLbl val="0"/>
      </c:catAx>
      <c:valAx>
        <c:axId val="92441985"/>
        <c:scaling>
          <c:orientation val="minMax"/>
          <c:max val="5"/>
        </c:scaling>
        <c:delete val="1"/>
        <c:axPos val="l"/>
        <c:majorGridlines>
          <c:spPr>
            <a:ln w="9360">
              <a:solidFill>
                <a:srgbClr val="d9d9d9"/>
              </a:solidFill>
              <a:round/>
            </a:ln>
          </c:spPr>
        </c:majorGridlines>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604287"/>
        <c:crossBetween val="between"/>
        <c:majorUnit val="1"/>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3 IT Risk Profile
Resulting Governance/Management
Objectives Importance</a:t>
            </a:r>
          </a:p>
        </c:rich>
      </c:tx>
      <c:layout>
        <c:manualLayout>
          <c:xMode val="edge"/>
          <c:yMode val="edge"/>
          <c:x val="0.215679190751445"/>
          <c:y val="0.011317738135308"/>
        </c:manualLayout>
      </c:layout>
      <c:overlay val="0"/>
      <c:spPr>
        <a:noFill/>
        <a:ln w="0">
          <a:noFill/>
        </a:ln>
      </c:spPr>
    </c:title>
    <c:autoTitleDeleted val="0"/>
    <c:plotArea>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0</c:v>
                </c:pt>
                <c:pt idx="1">
                  <c:v>20</c:v>
                </c:pt>
                <c:pt idx="2">
                  <c:v>5</c:v>
                </c:pt>
                <c:pt idx="3">
                  <c:v>-5</c:v>
                </c:pt>
                <c:pt idx="4">
                  <c:v>-5</c:v>
                </c:pt>
                <c:pt idx="5">
                  <c:v>20</c:v>
                </c:pt>
                <c:pt idx="6">
                  <c:v>5</c:v>
                </c:pt>
                <c:pt idx="7">
                  <c:v>25</c:v>
                </c:pt>
                <c:pt idx="8">
                  <c:v>20</c:v>
                </c:pt>
                <c:pt idx="9">
                  <c:v>5</c:v>
                </c:pt>
                <c:pt idx="10">
                  <c:v>-15</c:v>
                </c:pt>
                <c:pt idx="11">
                  <c:v>-5</c:v>
                </c:pt>
                <c:pt idx="12">
                  <c:v>20</c:v>
                </c:pt>
                <c:pt idx="13">
                  <c:v>10</c:v>
                </c:pt>
                <c:pt idx="14">
                  <c:v>0</c:v>
                </c:pt>
                <c:pt idx="15">
                  <c:v>25</c:v>
                </c:pt>
                <c:pt idx="16">
                  <c:v>25</c:v>
                </c:pt>
                <c:pt idx="17">
                  <c:v>45</c:v>
                </c:pt>
                <c:pt idx="18">
                  <c:v>10</c:v>
                </c:pt>
                <c:pt idx="19">
                  <c:v>15</c:v>
                </c:pt>
                <c:pt idx="20">
                  <c:v>20</c:v>
                </c:pt>
                <c:pt idx="21">
                  <c:v>25</c:v>
                </c:pt>
                <c:pt idx="22">
                  <c:v>20</c:v>
                </c:pt>
                <c:pt idx="23">
                  <c:v>10</c:v>
                </c:pt>
                <c:pt idx="24">
                  <c:v>40</c:v>
                </c:pt>
                <c:pt idx="25">
                  <c:v>30</c:v>
                </c:pt>
                <c:pt idx="26">
                  <c:v>10</c:v>
                </c:pt>
                <c:pt idx="27">
                  <c:v>45</c:v>
                </c:pt>
                <c:pt idx="28">
                  <c:v>40</c:v>
                </c:pt>
                <c:pt idx="29">
                  <c:v>20</c:v>
                </c:pt>
                <c:pt idx="30">
                  <c:v>10</c:v>
                </c:pt>
                <c:pt idx="31">
                  <c:v>25</c:v>
                </c:pt>
                <c:pt idx="32">
                  <c:v>20</c:v>
                </c:pt>
                <c:pt idx="33">
                  <c:v>5</c:v>
                </c:pt>
                <c:pt idx="34">
                  <c:v>15</c:v>
                </c:pt>
                <c:pt idx="35">
                  <c:v>35</c:v>
                </c:pt>
                <c:pt idx="36">
                  <c:v>10</c:v>
                </c:pt>
                <c:pt idx="37">
                  <c:v>10</c:v>
                </c:pt>
                <c:pt idx="38">
                  <c:v>20</c:v>
                </c:pt>
                <c:pt idx="39">
                  <c:v>10</c:v>
                </c:pt>
              </c:numCache>
            </c:numRef>
          </c:val>
        </c:ser>
        <c:gapWidth val="30"/>
        <c:overlap val="0"/>
        <c:axId val="95489411"/>
        <c:axId val="24873373"/>
      </c:barChart>
      <c:catAx>
        <c:axId val="95489411"/>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4873373"/>
        <c:crosses val="autoZero"/>
        <c:auto val="1"/>
        <c:lblAlgn val="ctr"/>
        <c:lblOffset val="100"/>
        <c:noMultiLvlLbl val="0"/>
      </c:catAx>
      <c:valAx>
        <c:axId val="24873373"/>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95489411"/>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3 IT Risk Profile
Resulting Governance/Management Objectives Importance</a:t>
            </a:r>
          </a:p>
        </c:rich>
      </c:tx>
      <c:layout>
        <c:manualLayout>
          <c:xMode val="edge"/>
          <c:yMode val="edge"/>
          <c:x val="0.193149847094801"/>
          <c:y val="0.0110175526789829"/>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0</c:v>
                </c:pt>
                <c:pt idx="1">
                  <c:v>20</c:v>
                </c:pt>
                <c:pt idx="2">
                  <c:v>5</c:v>
                </c:pt>
                <c:pt idx="3">
                  <c:v>-5</c:v>
                </c:pt>
                <c:pt idx="4">
                  <c:v>-5</c:v>
                </c:pt>
                <c:pt idx="5">
                  <c:v>20</c:v>
                </c:pt>
                <c:pt idx="6">
                  <c:v>5</c:v>
                </c:pt>
                <c:pt idx="7">
                  <c:v>25</c:v>
                </c:pt>
                <c:pt idx="8">
                  <c:v>20</c:v>
                </c:pt>
                <c:pt idx="9">
                  <c:v>5</c:v>
                </c:pt>
                <c:pt idx="10">
                  <c:v>-15</c:v>
                </c:pt>
                <c:pt idx="11">
                  <c:v>-5</c:v>
                </c:pt>
                <c:pt idx="12">
                  <c:v>20</c:v>
                </c:pt>
                <c:pt idx="13">
                  <c:v>10</c:v>
                </c:pt>
                <c:pt idx="14">
                  <c:v>0</c:v>
                </c:pt>
                <c:pt idx="15">
                  <c:v>25</c:v>
                </c:pt>
                <c:pt idx="16">
                  <c:v>25</c:v>
                </c:pt>
                <c:pt idx="17">
                  <c:v>45</c:v>
                </c:pt>
                <c:pt idx="18">
                  <c:v>10</c:v>
                </c:pt>
                <c:pt idx="19">
                  <c:v>15</c:v>
                </c:pt>
                <c:pt idx="20">
                  <c:v>20</c:v>
                </c:pt>
                <c:pt idx="21">
                  <c:v>25</c:v>
                </c:pt>
                <c:pt idx="22">
                  <c:v>20</c:v>
                </c:pt>
                <c:pt idx="23">
                  <c:v>10</c:v>
                </c:pt>
                <c:pt idx="24">
                  <c:v>40</c:v>
                </c:pt>
                <c:pt idx="25">
                  <c:v>30</c:v>
                </c:pt>
                <c:pt idx="26">
                  <c:v>10</c:v>
                </c:pt>
                <c:pt idx="27">
                  <c:v>45</c:v>
                </c:pt>
                <c:pt idx="28">
                  <c:v>40</c:v>
                </c:pt>
                <c:pt idx="29">
                  <c:v>20</c:v>
                </c:pt>
                <c:pt idx="30">
                  <c:v>10</c:v>
                </c:pt>
                <c:pt idx="31">
                  <c:v>25</c:v>
                </c:pt>
                <c:pt idx="32">
                  <c:v>20</c:v>
                </c:pt>
                <c:pt idx="33">
                  <c:v>5</c:v>
                </c:pt>
                <c:pt idx="34">
                  <c:v>15</c:v>
                </c:pt>
                <c:pt idx="35">
                  <c:v>35</c:v>
                </c:pt>
                <c:pt idx="36">
                  <c:v>10</c:v>
                </c:pt>
                <c:pt idx="37">
                  <c:v>10</c:v>
                </c:pt>
                <c:pt idx="38">
                  <c:v>20</c:v>
                </c:pt>
                <c:pt idx="39">
                  <c:v>10</c:v>
                </c:pt>
              </c:numCache>
            </c:numRef>
          </c:val>
        </c:ser>
        <c:axId val="99608084"/>
        <c:axId val="95402264"/>
      </c:radarChart>
      <c:catAx>
        <c:axId val="99608084"/>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95402264"/>
        <c:crosses val="autoZero"/>
        <c:auto val="1"/>
        <c:lblAlgn val="ctr"/>
        <c:lblOffset val="100"/>
        <c:noMultiLvlLbl val="0"/>
      </c:catAx>
      <c:valAx>
        <c:axId val="95402264"/>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99608084"/>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8" strike="noStrike">
                <a:solidFill>
                  <a:srgbClr val="808080"/>
                </a:solidFill>
                <a:latin typeface="Calibri"/>
              </a:defRPr>
            </a:pPr>
            <a:r>
              <a:rPr b="1" lang="en-US" sz="1100" spc="18" strike="noStrike">
                <a:solidFill>
                  <a:srgbClr val="808080"/>
                </a:solidFill>
                <a:latin typeface="Calibri"/>
              </a:rPr>
              <a:t>Design Factor 3 IT Risk Profile
Risk Rating of IT Risk Scenario Categories (Input)</a:t>
            </a:r>
          </a:p>
        </c:rich>
      </c:tx>
      <c:overlay val="0"/>
      <c:spPr>
        <a:noFill/>
        <a:ln w="0">
          <a:noFill/>
        </a:ln>
      </c:spPr>
    </c:title>
    <c:autoTitleDeleted val="0"/>
    <c:plotArea>
      <c:barChart>
        <c:barDir val="bar"/>
        <c:grouping val="clustered"/>
        <c:varyColors val="0"/>
        <c:ser>
          <c:idx val="0"/>
          <c:order val="0"/>
          <c:spPr>
            <a:solidFill>
              <a:srgbClr val="8497b0"/>
            </a:solidFill>
            <a:ln w="936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DF3!$A$6:$A$24</c:f>
              <c:strCache>
                <c:ptCount val="19"/>
                <c:pt idx="0">
                  <c:v>Toma de decisiones de inversión en TI, definición y mantenimiento de cartera</c:v>
                </c:pt>
                <c:pt idx="1">
                  <c:v>Gestión del ciclo de vida de programas y proyectos</c:v>
                </c:pt>
                <c:pt idx="2">
                  <c:v>Costes y supervisión de TI</c:v>
                </c:pt>
                <c:pt idx="3">
                  <c:v>Experiencia, habilidades y comportamiento en TI</c:v>
                </c:pt>
                <c:pt idx="4">
                  <c:v>Arquitectura empresarial/de TI</c:v>
                </c:pt>
                <c:pt idx="5">
                  <c:v>incidentes en la infraestructura operativa de TI</c:v>
                </c:pt>
                <c:pt idx="6">
                  <c:v>Acciones no autorizadas</c:v>
                </c:pt>
                <c:pt idx="7">
                  <c:v>Problemas de adopción/uso de software</c:v>
                </c:pt>
                <c:pt idx="8">
                  <c:v>incidentes de hardware</c:v>
                </c:pt>
                <c:pt idx="9">
                  <c:v>fallos de software</c:v>
                </c:pt>
                <c:pt idx="10">
                  <c:v>Ataques lógicos (piratería informática, malware, etc.)</c:v>
                </c:pt>
                <c:pt idx="11">
                  <c:v>Incidentes con terceros/proveedores</c:v>
                </c:pt>
                <c:pt idx="12">
                  <c:v>Incumplimiento</c:v>
                </c:pt>
                <c:pt idx="13">
                  <c:v>Cuestiones geopolíticas</c:v>
                </c:pt>
                <c:pt idx="14">
                  <c:v>acción industrial</c:v>
                </c:pt>
                <c:pt idx="15">
                  <c:v>fenómenos naturales</c:v>
                </c:pt>
                <c:pt idx="16">
                  <c:v>Innovación basada en la tecnología</c:v>
                </c:pt>
                <c:pt idx="17">
                  <c:v>Ambiental</c:v>
                </c:pt>
                <c:pt idx="18">
                  <c:v>Gestión de datos e información</c:v>
                </c:pt>
              </c:strCache>
            </c:strRef>
          </c:cat>
          <c:val>
            <c:numRef>
              <c:f>DF3!$G$6:$G$24</c:f>
              <c:numCache>
                <c:formatCode>General</c:formatCode>
                <c:ptCount val="19"/>
                <c:pt idx="0">
                  <c:v>20</c:v>
                </c:pt>
                <c:pt idx="1">
                  <c:v>20</c:v>
                </c:pt>
                <c:pt idx="2">
                  <c:v>9</c:v>
                </c:pt>
                <c:pt idx="3">
                  <c:v>20</c:v>
                </c:pt>
                <c:pt idx="4">
                  <c:v>20</c:v>
                </c:pt>
                <c:pt idx="5">
                  <c:v>20</c:v>
                </c:pt>
                <c:pt idx="6">
                  <c:v>25</c:v>
                </c:pt>
                <c:pt idx="7">
                  <c:v>16</c:v>
                </c:pt>
                <c:pt idx="8">
                  <c:v>12</c:v>
                </c:pt>
                <c:pt idx="9">
                  <c:v>20</c:v>
                </c:pt>
                <c:pt idx="10">
                  <c:v>25</c:v>
                </c:pt>
                <c:pt idx="11">
                  <c:v>16</c:v>
                </c:pt>
                <c:pt idx="12">
                  <c:v>20</c:v>
                </c:pt>
                <c:pt idx="13">
                  <c:v>6</c:v>
                </c:pt>
                <c:pt idx="14">
                  <c:v>4</c:v>
                </c:pt>
                <c:pt idx="15">
                  <c:v>8</c:v>
                </c:pt>
                <c:pt idx="16">
                  <c:v>20</c:v>
                </c:pt>
                <c:pt idx="17">
                  <c:v>6</c:v>
                </c:pt>
                <c:pt idx="18">
                  <c:v>25</c:v>
                </c:pt>
              </c:numCache>
            </c:numRef>
          </c:val>
        </c:ser>
        <c:gapWidth val="33"/>
        <c:overlap val="0"/>
        <c:axId val="4650266"/>
        <c:axId val="70711548"/>
      </c:barChart>
      <c:catAx>
        <c:axId val="4650266"/>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808080"/>
                </a:solidFill>
                <a:latin typeface="Calibri"/>
              </a:defRPr>
            </a:pPr>
          </a:p>
        </c:txPr>
        <c:crossAx val="70711548"/>
        <c:crosses val="autoZero"/>
        <c:auto val="1"/>
        <c:lblAlgn val="ctr"/>
        <c:lblOffset val="100"/>
        <c:noMultiLvlLbl val="0"/>
      </c:catAx>
      <c:valAx>
        <c:axId val="7071154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808080"/>
                </a:solidFill>
                <a:latin typeface="Calibri"/>
              </a:defRPr>
            </a:pPr>
          </a:p>
        </c:txPr>
        <c:crossAx val="46502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8" strike="noStrike">
                <a:solidFill>
                  <a:srgbClr val="000000"/>
                </a:solidFill>
                <a:latin typeface="Calibri"/>
              </a:defRPr>
            </a:pPr>
            <a:r>
              <a:rPr b="0" lang="en-US" sz="1200" spc="18" strike="noStrike">
                <a:solidFill>
                  <a:srgbClr val="000000"/>
                </a:solidFill>
                <a:latin typeface="Calibri"/>
              </a:rPr>
              <a:t>Design Factor 4 IT-Related Issues
Importance of IT-Related Issues (Input) </a:t>
            </a:r>
          </a:p>
        </c:rich>
      </c:tx>
      <c:overlay val="0"/>
      <c:spPr>
        <a:noFill/>
        <a:ln w="0">
          <a:noFill/>
        </a:ln>
      </c:spPr>
    </c:title>
    <c:autoTitleDeleted val="0"/>
    <c:plotArea>
      <c:barChart>
        <c:barDir val="bar"/>
        <c:grouping val="clustered"/>
        <c:varyColors val="0"/>
        <c:ser>
          <c:idx val="0"/>
          <c:order val="0"/>
          <c:spPr>
            <a:solidFill>
              <a:srgbClr val="8497b0"/>
            </a:solidFill>
            <a:ln w="9360">
              <a:solidFill>
                <a:srgbClr val="426fbf"/>
              </a:solidFill>
              <a:round/>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DF4!$A$6:$E$25</c:f>
              <c:multiLvlStrCache>
                <c:ptCount val="20"/>
                <c:lvl/>
                <c:lvl/>
                <c:lvl/>
                <c:lvl/>
                <c:lvl>
                  <c:pt idx="0">
                    <c:v>Frustración entre las diferentes entidades de TI de la organización debido a la percepción de una baja contribución al valor del negocio.</c:v>
                  </c:pt>
                  <c:pt idx="1">
                    <c:v>Frustración entre los departamentos comerciales (es decir, el cliente de TI) y el departamento de TI debido a iniciativas fallidas o a la percepción de una baja contribución al valor empresarial.</c:v>
                  </c:pt>
                  <c:pt idx="2">
                    <c:v>Incidentes significativos relacionados con las TI, como pérdida de datos, brechas de seguridad, fracaso de proyectos y errores de aplicaciones, vinculados a las TI</c:v>
                  </c:pt>
                  <c:pt idx="3">
                    <c:v>Problemas en la prestación de servicios por parte del/los proveedor/es de servicios informáticos subcontratados</c:v>
                  </c:pt>
                  <c:pt idx="4">
                    <c:v>Incumplimiento de los requisitos contractuales o reglamentarios relacionados con las TI</c:v>
                  </c:pt>
                  <c:pt idx="5">
                    <c:v>Resultados de auditorías periódicas u otros informes de evaluación sobre el bajo rendimiento de TI o problemas de calidad o servicio de TI reportados.</c:v>
                  </c:pt>
                  <c:pt idx="6">
                    <c:v>Gastos informáticos sustanciales, ocultos y no autorizados; es decir, gastos informáticos realizados por departamentos de usuarios fuera del control de los mecanismos normales de decisión de inversión en TI y de los presupuestos aprobados.</c:v>
                  </c:pt>
                  <c:pt idx="7">
                    <c:v>Duplicaciones o solapamientos entre diversas iniciativas, u otras formas de desperdicio de recursos</c:v>
                  </c:pt>
                  <c:pt idx="8">
                    <c:v>Recursos informáticos insuficientes, personal con habilidades inadecuadas o agotamiento/insatisfacción del personal.</c:v>
                  </c:pt>
                  <c:pt idx="9">
                    <c:v>Los cambios o proyectos impulsados ​​por TI frecuentemente no satisfacen las necesidades del negocio y se entregan con retraso o con sobrecostes.</c:v>
                  </c:pt>
                  <c:pt idx="10">
                    <c:v>La reticencia de los miembros del consejo, los ejecutivos o la alta dirección a involucrarse con las TI, o la falta de un patrocinio empresarial comprometido para las TI.</c:v>
                  </c:pt>
                  <c:pt idx="11">
                    <c:v>Modelo operativo de TI complejo y/o mecanismos de decisión poco claros para las decisiones relacionadas con las TI</c:v>
                  </c:pt>
                  <c:pt idx="12">
                    <c:v>Coste excesivamente alto de TI</c:v>
                  </c:pt>
                  <c:pt idx="13">
                    <c:v>La implementación de nuevas iniciativas o innovaciones se ha visto obstaculizada o ha fracasado debido a la arquitectura y los sistemas de TI actuales.</c:v>
                  </c:pt>
                  <c:pt idx="14">
                    <c:v>Existe una brecha entre el conocimiento empresarial y el técnico, lo que provoca que los usuarios empresariales y los especialistas en información y/o tecnología hablen idiomas diferentes.</c:v>
                  </c:pt>
                  <c:pt idx="15">
                    <c:v>Problemas frecuentes con la calidad de los datos y la integración de datos de diversas fuentes</c:v>
                  </c:pt>
                  <c:pt idx="16">
                    <c:v>El alto nivel de computación por parte del usuario final crea (entre otros problemas) una falta de supervisión y control de calidad sobre las aplicaciones que se desarrollan y se ponen en funcionamiento.</c:v>
                  </c:pt>
                  <c:pt idx="17">
                    <c:v>Los departamentos empresariales implementan sus propias soluciones de información con poca o ninguna participación del departamento de TI de la empresa (relacionado con la informática del usuario final, lo que a menudo se debe a la insatisfacción con las soluciones y los servicios de TI).</c:v>
                  </c:pt>
                  <c:pt idx="18">
                    <c:v>Desconocimiento o incumplimiento de las normas de privacidad</c:v>
                  </c:pt>
                  <c:pt idx="19">
                    <c:v>Incapacidad para aprovechar las nuevas tecnologías o innovar utilizando tecnologías de la información y la comunicación (TIC).</c:v>
                  </c:pt>
                </c:lvl>
              </c:multiLvlStrCache>
            </c:multiLvlStrRef>
          </c:cat>
          <c:val>
            <c:numRef>
              <c:f>DF4!$F$6:$F$25</c:f>
              <c:numCache>
                <c:formatCode>General</c:formatCode>
                <c:ptCount val="20"/>
                <c:pt idx="0">
                  <c:v>2</c:v>
                </c:pt>
                <c:pt idx="1">
                  <c:v>2</c:v>
                </c:pt>
                <c:pt idx="2">
                  <c:v>3</c:v>
                </c:pt>
                <c:pt idx="3">
                  <c:v>2</c:v>
                </c:pt>
                <c:pt idx="4">
                  <c:v>3</c:v>
                </c:pt>
                <c:pt idx="5">
                  <c:v>2</c:v>
                </c:pt>
                <c:pt idx="6">
                  <c:v>1</c:v>
                </c:pt>
                <c:pt idx="7">
                  <c:v>2</c:v>
                </c:pt>
                <c:pt idx="8">
                  <c:v>3</c:v>
                </c:pt>
                <c:pt idx="9">
                  <c:v>3</c:v>
                </c:pt>
                <c:pt idx="10">
                  <c:v>1</c:v>
                </c:pt>
                <c:pt idx="11">
                  <c:v>2</c:v>
                </c:pt>
                <c:pt idx="12">
                  <c:v>1</c:v>
                </c:pt>
                <c:pt idx="13">
                  <c:v>3</c:v>
                </c:pt>
                <c:pt idx="14">
                  <c:v>2</c:v>
                </c:pt>
                <c:pt idx="15">
                  <c:v>3</c:v>
                </c:pt>
                <c:pt idx="16">
                  <c:v>1</c:v>
                </c:pt>
                <c:pt idx="17">
                  <c:v>2</c:v>
                </c:pt>
                <c:pt idx="18">
                  <c:v>2</c:v>
                </c:pt>
                <c:pt idx="19">
                  <c:v>3</c:v>
                </c:pt>
              </c:numCache>
            </c:numRef>
          </c:val>
        </c:ser>
        <c:gapWidth val="79"/>
        <c:overlap val="0"/>
        <c:axId val="13897795"/>
        <c:axId val="20788564"/>
      </c:barChart>
      <c:catAx>
        <c:axId val="13897795"/>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1" sz="800" spc="-1" strike="noStrike">
                <a:solidFill>
                  <a:srgbClr val="808080"/>
                </a:solidFill>
                <a:latin typeface="Calibri"/>
              </a:defRPr>
            </a:pPr>
          </a:p>
        </c:txPr>
        <c:crossAx val="20788564"/>
        <c:crosses val="autoZero"/>
        <c:auto val="1"/>
        <c:lblAlgn val="ctr"/>
        <c:lblOffset val="100"/>
        <c:noMultiLvlLbl val="0"/>
      </c:catAx>
      <c:valAx>
        <c:axId val="20788564"/>
        <c:scaling>
          <c:orientation val="minMax"/>
          <c:max val="3"/>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808080"/>
                </a:solidFill>
                <a:latin typeface="Calibri"/>
              </a:defRPr>
            </a:pPr>
          </a:p>
        </c:txPr>
        <c:crossAx val="13897795"/>
        <c:crosses val="autoZero"/>
        <c:crossBetween val="between"/>
        <c:majorUnit val="1"/>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4 IT-Related Issues
Resulting Governance/ Management Objectives Importance</a:t>
            </a:r>
          </a:p>
        </c:rich>
      </c:tx>
      <c:layout>
        <c:manualLayout>
          <c:xMode val="edge"/>
          <c:yMode val="edge"/>
          <c:x val="0.189062067693443"/>
          <c:y val="0.00639336472417815"/>
        </c:manualLayout>
      </c:layout>
      <c:overlay val="0"/>
      <c:spPr>
        <a:noFill/>
        <a:ln w="0">
          <a:noFill/>
        </a:ln>
      </c:spPr>
    </c:title>
    <c:autoTitleDeleted val="0"/>
    <c:plotArea>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-5</c:v>
                </c:pt>
                <c:pt idx="2">
                  <c:v>5</c:v>
                </c:pt>
                <c:pt idx="3">
                  <c:v>-5</c:v>
                </c:pt>
                <c:pt idx="4">
                  <c:v>-10</c:v>
                </c:pt>
                <c:pt idx="5">
                  <c:v>0</c:v>
                </c:pt>
                <c:pt idx="6">
                  <c:v>-5</c:v>
                </c:pt>
                <c:pt idx="7">
                  <c:v>5</c:v>
                </c:pt>
                <c:pt idx="8">
                  <c:v>10</c:v>
                </c:pt>
                <c:pt idx="9">
                  <c:v>-5</c:v>
                </c:pt>
                <c:pt idx="10">
                  <c:v>-15</c:v>
                </c:pt>
                <c:pt idx="11">
                  <c:v>0</c:v>
                </c:pt>
                <c:pt idx="12">
                  <c:v>-10</c:v>
                </c:pt>
                <c:pt idx="13">
                  <c:v>-5</c:v>
                </c:pt>
                <c:pt idx="14">
                  <c:v>0</c:v>
                </c:pt>
                <c:pt idx="15">
                  <c:v>10</c:v>
                </c:pt>
                <c:pt idx="16">
                  <c:v>5</c:v>
                </c:pt>
                <c:pt idx="17">
                  <c:v>10</c:v>
                </c:pt>
                <c:pt idx="18">
                  <c:v>10</c:v>
                </c:pt>
                <c:pt idx="19">
                  <c:v>5</c:v>
                </c:pt>
                <c:pt idx="20">
                  <c:v>0</c:v>
                </c:pt>
                <c:pt idx="21">
                  <c:v>0</c:v>
                </c:pt>
                <c:pt idx="22">
                  <c:v>0</c:v>
                </c:pt>
                <c:pt idx="23">
                  <c:v>5</c:v>
                </c:pt>
                <c:pt idx="24">
                  <c:v>5</c:v>
                </c:pt>
                <c:pt idx="25">
                  <c:v>10</c:v>
                </c:pt>
                <c:pt idx="26">
                  <c:v>10</c:v>
                </c:pt>
                <c:pt idx="27">
                  <c:v>-20</c:v>
                </c:pt>
                <c:pt idx="28">
                  <c:v>10</c:v>
                </c:pt>
                <c:pt idx="29">
                  <c:v>5</c:v>
                </c:pt>
                <c:pt idx="30">
                  <c:v>5</c:v>
                </c:pt>
                <c:pt idx="31">
                  <c:v>5</c:v>
                </c:pt>
                <c:pt idx="32">
                  <c:v>5</c:v>
                </c:pt>
                <c:pt idx="33">
                  <c:v>15</c:v>
                </c:pt>
                <c:pt idx="34">
                  <c:v>15</c:v>
                </c:pt>
                <c:pt idx="35">
                  <c:v>10</c:v>
                </c:pt>
                <c:pt idx="36">
                  <c:v>0</c:v>
                </c:pt>
                <c:pt idx="37">
                  <c:v>0</c:v>
                </c:pt>
                <c:pt idx="38">
                  <c:v>20</c:v>
                </c:pt>
                <c:pt idx="39">
                  <c:v>0</c:v>
                </c:pt>
              </c:numCache>
            </c:numRef>
          </c:val>
        </c:ser>
        <c:gapWidth val="30"/>
        <c:overlap val="0"/>
        <c:axId val="2189949"/>
        <c:axId val="34248225"/>
      </c:barChart>
      <c:catAx>
        <c:axId val="2189949"/>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4248225"/>
        <c:crosses val="autoZero"/>
        <c:auto val="1"/>
        <c:lblAlgn val="ctr"/>
        <c:lblOffset val="100"/>
        <c:noMultiLvlLbl val="0"/>
      </c:catAx>
      <c:valAx>
        <c:axId val="34248225"/>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2189949"/>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4 IT-Related Issues
Resulting Governance/Management Objectives Importance</a:t>
            </a:r>
          </a:p>
        </c:rich>
      </c:tx>
      <c:layout>
        <c:manualLayout>
          <c:xMode val="edge"/>
          <c:yMode val="edge"/>
          <c:x val="0.18784622202526"/>
          <c:y val="0.0179703573078054"/>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-5</c:v>
                </c:pt>
                <c:pt idx="2">
                  <c:v>5</c:v>
                </c:pt>
                <c:pt idx="3">
                  <c:v>-5</c:v>
                </c:pt>
                <c:pt idx="4">
                  <c:v>-10</c:v>
                </c:pt>
                <c:pt idx="5">
                  <c:v>0</c:v>
                </c:pt>
                <c:pt idx="6">
                  <c:v>-5</c:v>
                </c:pt>
                <c:pt idx="7">
                  <c:v>5</c:v>
                </c:pt>
                <c:pt idx="8">
                  <c:v>10</c:v>
                </c:pt>
                <c:pt idx="9">
                  <c:v>-5</c:v>
                </c:pt>
                <c:pt idx="10">
                  <c:v>-15</c:v>
                </c:pt>
                <c:pt idx="11">
                  <c:v>0</c:v>
                </c:pt>
                <c:pt idx="12">
                  <c:v>-10</c:v>
                </c:pt>
                <c:pt idx="13">
                  <c:v>-5</c:v>
                </c:pt>
                <c:pt idx="14">
                  <c:v>0</c:v>
                </c:pt>
                <c:pt idx="15">
                  <c:v>10</c:v>
                </c:pt>
                <c:pt idx="16">
                  <c:v>5</c:v>
                </c:pt>
                <c:pt idx="17">
                  <c:v>10</c:v>
                </c:pt>
                <c:pt idx="18">
                  <c:v>10</c:v>
                </c:pt>
                <c:pt idx="19">
                  <c:v>5</c:v>
                </c:pt>
                <c:pt idx="20">
                  <c:v>0</c:v>
                </c:pt>
                <c:pt idx="21">
                  <c:v>0</c:v>
                </c:pt>
                <c:pt idx="22">
                  <c:v>0</c:v>
                </c:pt>
                <c:pt idx="23">
                  <c:v>5</c:v>
                </c:pt>
                <c:pt idx="24">
                  <c:v>5</c:v>
                </c:pt>
                <c:pt idx="25">
                  <c:v>10</c:v>
                </c:pt>
                <c:pt idx="26">
                  <c:v>10</c:v>
                </c:pt>
                <c:pt idx="27">
                  <c:v>-20</c:v>
                </c:pt>
                <c:pt idx="28">
                  <c:v>10</c:v>
                </c:pt>
                <c:pt idx="29">
                  <c:v>5</c:v>
                </c:pt>
                <c:pt idx="30">
                  <c:v>5</c:v>
                </c:pt>
                <c:pt idx="31">
                  <c:v>5</c:v>
                </c:pt>
                <c:pt idx="32">
                  <c:v>5</c:v>
                </c:pt>
                <c:pt idx="33">
                  <c:v>15</c:v>
                </c:pt>
                <c:pt idx="34">
                  <c:v>15</c:v>
                </c:pt>
                <c:pt idx="35">
                  <c:v>10</c:v>
                </c:pt>
                <c:pt idx="36">
                  <c:v>0</c:v>
                </c:pt>
                <c:pt idx="37">
                  <c:v>0</c:v>
                </c:pt>
                <c:pt idx="38">
                  <c:v>20</c:v>
                </c:pt>
                <c:pt idx="39">
                  <c:v>0</c:v>
                </c:pt>
              </c:numCache>
            </c:numRef>
          </c:val>
        </c:ser>
        <c:axId val="64790375"/>
        <c:axId val="93035140"/>
      </c:radarChart>
      <c:catAx>
        <c:axId val="64790375"/>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93035140"/>
        <c:crosses val="autoZero"/>
        <c:auto val="1"/>
        <c:lblAlgn val="ctr"/>
        <c:lblOffset val="100"/>
        <c:noMultiLvlLbl val="0"/>
      </c:catAx>
      <c:valAx>
        <c:axId val="93035140"/>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64790375"/>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Step 2 Initial Design
Governance and Management Objectives Importance</a:t>
            </a:r>
          </a:p>
        </c:rich>
      </c:tx>
      <c:overlay val="0"/>
      <c:spPr>
        <a:noFill/>
        <a:ln w="0">
          <a:noFill/>
        </a:ln>
      </c:spPr>
    </c:title>
    <c:autoTitleDeleted val="0"/>
    <c:plotArea>
      <c:barChart>
        <c:barDir val="bar"/>
        <c:grouping val="clustered"/>
        <c:varyColors val="0"/>
        <c:ser>
          <c:idx val="0"/>
          <c:order val="0"/>
          <c:spPr>
            <a:solidFill>
              <a:srgbClr val="7c7c7c">
                <a:alpha val="50000"/>
              </a:srgbClr>
            </a:solidFill>
            <a:ln w="0">
              <a:noFill/>
            </a:ln>
          </c:spPr>
          <c:invertIfNegative val="0"/>
          <c:dLbls>
            <c:numFmt formatCode="#,##0_ ;[RED]\-#,##0\ " sourceLinked="1"/>
            <c:txPr>
              <a:bodyPr wrap="square"/>
              <a:lstStyle/>
              <a:p>
                <a:pPr>
                  <a:defRPr b="1" sz="900" spc="-1" strike="noStrike">
                    <a:solidFill>
                      <a:srgbClr val="ffffff"/>
                    </a:solidFill>
                    <a:latin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Canvas!$G$6:$G$45</c:f>
              <c:numCache>
                <c:formatCode>0</c:formatCode>
                <c:ptCount val="40"/>
                <c:pt idx="0">
                  <c:v>5</c:v>
                </c:pt>
                <c:pt idx="1">
                  <c:v>30</c:v>
                </c:pt>
                <c:pt idx="2">
                  <c:v>45</c:v>
                </c:pt>
                <c:pt idx="3">
                  <c:v>-30</c:v>
                </c:pt>
                <c:pt idx="4">
                  <c:v>-15</c:v>
                </c:pt>
                <c:pt idx="5">
                  <c:v>25</c:v>
                </c:pt>
                <c:pt idx="6">
                  <c:v>-15</c:v>
                </c:pt>
                <c:pt idx="7">
                  <c:v>5</c:v>
                </c:pt>
                <c:pt idx="8">
                  <c:v>40</c:v>
                </c:pt>
                <c:pt idx="9">
                  <c:v>-10</c:v>
                </c:pt>
                <c:pt idx="10">
                  <c:v>-60</c:v>
                </c:pt>
                <c:pt idx="11">
                  <c:v>-25</c:v>
                </c:pt>
                <c:pt idx="12">
                  <c:v>30</c:v>
                </c:pt>
                <c:pt idx="13">
                  <c:v>30</c:v>
                </c:pt>
                <c:pt idx="14">
                  <c:v>-5</c:v>
                </c:pt>
                <c:pt idx="15">
                  <c:v>60</c:v>
                </c:pt>
                <c:pt idx="16">
                  <c:v>85</c:v>
                </c:pt>
                <c:pt idx="17">
                  <c:v>100</c:v>
                </c:pt>
                <c:pt idx="18">
                  <c:v>15</c:v>
                </c:pt>
                <c:pt idx="19">
                  <c:v>0</c:v>
                </c:pt>
                <c:pt idx="20">
                  <c:v>15</c:v>
                </c:pt>
                <c:pt idx="21">
                  <c:v>20</c:v>
                </c:pt>
                <c:pt idx="22">
                  <c:v>45</c:v>
                </c:pt>
                <c:pt idx="23">
                  <c:v>-10</c:v>
                </c:pt>
                <c:pt idx="24">
                  <c:v>50</c:v>
                </c:pt>
                <c:pt idx="25">
                  <c:v>50</c:v>
                </c:pt>
                <c:pt idx="26">
                  <c:v>30</c:v>
                </c:pt>
                <c:pt idx="27">
                  <c:v>5</c:v>
                </c:pt>
                <c:pt idx="28">
                  <c:v>55</c:v>
                </c:pt>
                <c:pt idx="29">
                  <c:v>10</c:v>
                </c:pt>
                <c:pt idx="30">
                  <c:v>20</c:v>
                </c:pt>
                <c:pt idx="31">
                  <c:v>75</c:v>
                </c:pt>
                <c:pt idx="32">
                  <c:v>45</c:v>
                </c:pt>
                <c:pt idx="33">
                  <c:v>65</c:v>
                </c:pt>
                <c:pt idx="34">
                  <c:v>65</c:v>
                </c:pt>
                <c:pt idx="35">
                  <c:v>55</c:v>
                </c:pt>
                <c:pt idx="36">
                  <c:v>10</c:v>
                </c:pt>
                <c:pt idx="37">
                  <c:v>10</c:v>
                </c:pt>
                <c:pt idx="38">
                  <c:v>45</c:v>
                </c:pt>
                <c:pt idx="39">
                  <c:v>15</c:v>
                </c:pt>
              </c:numCache>
            </c:numRef>
          </c:val>
        </c:ser>
        <c:gapWidth val="35"/>
        <c:overlap val="0"/>
        <c:axId val="25734605"/>
        <c:axId val="44162699"/>
      </c:barChart>
      <c:catAx>
        <c:axId val="25734605"/>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1" sz="800" spc="-1" strike="noStrike">
                <a:solidFill>
                  <a:srgbClr val="595959"/>
                </a:solidFill>
                <a:latin typeface="Calibri"/>
              </a:defRPr>
            </a:pPr>
          </a:p>
        </c:txPr>
        <c:crossAx val="44162699"/>
        <c:crosses val="autoZero"/>
        <c:auto val="1"/>
        <c:lblAlgn val="ctr"/>
        <c:lblOffset val="100"/>
        <c:noMultiLvlLbl val="0"/>
      </c:catAx>
      <c:valAx>
        <c:axId val="44162699"/>
        <c:scaling>
          <c:orientation val="minMax"/>
          <c:max val="100"/>
          <c:min val="-100"/>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257346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49" strike="noStrike">
                <a:solidFill>
                  <a:srgbClr val="595959"/>
                </a:solidFill>
                <a:latin typeface="Calibri"/>
              </a:defRPr>
            </a:pPr>
            <a:r>
              <a:rPr b="0" lang="en-US" sz="1200" spc="49" strike="noStrike">
                <a:solidFill>
                  <a:srgbClr val="595959"/>
                </a:solidFill>
                <a:latin typeface="Calibri"/>
              </a:rPr>
              <a:t>Design Factor 5 IT Threat Landscape</a:t>
            </a:r>
          </a:p>
        </c:rich>
      </c:tx>
      <c:overlay val="0"/>
      <c:spPr>
        <a:noFill/>
        <a:ln w="0">
          <a:noFill/>
        </a:ln>
      </c:spPr>
    </c:title>
    <c:autoTitleDeleted val="0"/>
    <c:plotArea>
      <c:pieChart>
        <c:varyColors val="1"/>
        <c:ser>
          <c:idx val="0"/>
          <c:order val="0"/>
          <c:spPr>
            <a:solidFill>
              <a:srgbClr val="4472c4"/>
            </a:solidFill>
            <a:ln w="0">
              <a:noFill/>
            </a:ln>
          </c:spPr>
          <c:explosion val="1"/>
          <c:dPt>
            <c:idx val="0"/>
            <c:explosion val="1"/>
            <c:spPr>
              <a:solidFill>
                <a:srgbClr val="4472c4"/>
              </a:solidFill>
              <a:ln w="0">
                <a:noFill/>
              </a:ln>
            </c:spPr>
          </c:dPt>
          <c:dPt>
            <c:idx val="1"/>
            <c:explosion val="1"/>
            <c:spPr>
              <a:solidFill>
                <a:srgbClr val="ed7d31"/>
              </a:solidFill>
              <a:ln w="0">
                <a:noFill/>
              </a:ln>
            </c:spPr>
          </c:dPt>
          <c:dLbls>
            <c:dLbl>
              <c:idx val="0"/>
              <c:txPr>
                <a:bodyPr wrap="square"/>
                <a:lstStyle/>
                <a:p>
                  <a:pPr>
                    <a:defRPr b="1" sz="900" spc="-1" strike="noStrike">
                      <a:solidFill>
                        <a:srgbClr val="ffffff"/>
                      </a:solidFill>
                      <a:latin typeface="Calibri"/>
                    </a:defRPr>
                  </a:pPr>
                </a:p>
              </c:txPr>
              <c:dLblPos val="inEnd"/>
              <c:showLegendKey val="0"/>
              <c:showVal val="0"/>
              <c:showCatName val="0"/>
              <c:showSerName val="0"/>
              <c:showPercent val="1"/>
              <c:separator>
</c:separator>
            </c:dLbl>
            <c:dLbl>
              <c:idx val="1"/>
              <c:txPr>
                <a:bodyPr wrap="square"/>
                <a:lstStyle/>
                <a:p>
                  <a:pPr>
                    <a:defRPr b="1" sz="900" spc="-1" strike="noStrike">
                      <a:solidFill>
                        <a:srgbClr val="ffffff"/>
                      </a:solidFill>
                      <a:latin typeface="Calibri"/>
                    </a:defRPr>
                  </a:pPr>
                </a:p>
              </c:txPr>
              <c:dLblPos val="inEnd"/>
              <c:showLegendKey val="0"/>
              <c:showVal val="0"/>
              <c:showCatName val="0"/>
              <c:showSerName val="0"/>
              <c:showPercent val="1"/>
              <c:separator>
</c:separator>
            </c:dLbl>
            <c:txPr>
              <a:bodyPr wrap="square"/>
              <a:lstStyle/>
              <a:p>
                <a:pPr>
                  <a:defRPr b="1" sz="900" spc="-1" strike="noStrike">
                    <a:solidFill>
                      <a:srgbClr val="ffffff"/>
                    </a:solidFill>
                    <a:latin typeface="Calibri"/>
                  </a:defRPr>
                </a:pPr>
              </a:p>
            </c:txPr>
            <c:dLblPos val="inEnd"/>
            <c:showLegendKey val="0"/>
            <c:showVal val="0"/>
            <c:showCatName val="0"/>
            <c:showSerName val="0"/>
            <c:showPercent val="1"/>
            <c:separator>
</c:separator>
            <c:showLeaderLines val="1"/>
          </c:dLbls>
          <c:cat>
            <c:strRef>
              <c:f>DF5!$A$7:$A$8</c:f>
              <c:strCache>
                <c:ptCount val="2"/>
                <c:pt idx="0">
                  <c:v>High</c:v>
                </c:pt>
                <c:pt idx="1">
                  <c:v>Normal</c:v>
                </c:pt>
              </c:strCache>
            </c:strRef>
          </c:cat>
          <c:val>
            <c:numRef>
              <c:f>DF5!$B$7:$B$8</c:f>
              <c:numCache>
                <c:formatCode>0%</c:formatCode>
                <c:ptCount val="2"/>
                <c:pt idx="0">
                  <c:v>1</c:v>
                </c:pt>
                <c:pt idx="1">
                  <c:v>0</c:v>
                </c:pt>
              </c:numCache>
            </c:numRef>
          </c:val>
        </c:ser>
        <c:firstSliceAng val="0"/>
      </c:pieChart>
      <c:spPr>
        <a:noFill/>
        <a:ln w="0">
          <a:noFill/>
        </a:ln>
      </c:spPr>
    </c:plotArea>
    <c:legend>
      <c:legendPos val="t"/>
      <c:overlay val="0"/>
      <c:spPr>
        <a:noFill/>
        <a:ln w="0">
          <a:noFill/>
        </a:ln>
      </c:spPr>
      <c:txPr>
        <a:bodyPr/>
        <a:lstStyle/>
        <a:p>
          <a:pPr>
            <a:defRPr b="1" sz="105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5 Threat Landscape
Resulting Governance/Management Objectives Importance</a:t>
            </a:r>
          </a:p>
        </c:rich>
      </c:tx>
      <c:layout>
        <c:manualLayout>
          <c:xMode val="edge"/>
          <c:yMode val="edge"/>
          <c:x val="0.0971023063276168"/>
          <c:y val="0.0540251404118748"/>
        </c:manualLayout>
      </c:layout>
      <c:overlay val="0"/>
      <c:spPr>
        <a:noFill/>
        <a:ln w="0">
          <a:noFill/>
        </a:ln>
      </c:spPr>
    </c:title>
    <c:autoTitleDeleted val="0"/>
    <c:plotArea>
      <c:layout>
        <c:manualLayout>
          <c:layoutTarget val="inner"/>
          <c:xMode val="edge"/>
          <c:yMode val="edge"/>
          <c:x val="0.0845653459491425"/>
          <c:y val="0.181866809307301"/>
          <c:w val="0.836546422235364"/>
          <c:h val="0.795801016314523"/>
        </c:manualLayout>
      </c:layout>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80</c:v>
                </c:pt>
                <c:pt idx="1">
                  <c:v>0</c:v>
                </c:pt>
                <c:pt idx="2">
                  <c:v>100</c:v>
                </c:pt>
                <c:pt idx="3">
                  <c:v>0</c:v>
                </c:pt>
                <c:pt idx="4">
                  <c:v>50</c:v>
                </c:pt>
                <c:pt idx="5">
                  <c:v>80</c:v>
                </c:pt>
                <c:pt idx="6">
                  <c:v>0</c:v>
                </c:pt>
                <c:pt idx="7">
                  <c:v>80</c:v>
                </c:pt>
                <c:pt idx="8">
                  <c:v>0</c:v>
                </c:pt>
                <c:pt idx="9">
                  <c:v>0</c:v>
                </c:pt>
                <c:pt idx="10">
                  <c:v>0</c:v>
                </c:pt>
                <c:pt idx="11">
                  <c:v>50</c:v>
                </c:pt>
                <c:pt idx="12">
                  <c:v>0</c:v>
                </c:pt>
                <c:pt idx="13">
                  <c:v>50</c:v>
                </c:pt>
                <c:pt idx="14">
                  <c:v>80</c:v>
                </c:pt>
                <c:pt idx="15">
                  <c:v>50</c:v>
                </c:pt>
                <c:pt idx="16">
                  <c:v>100</c:v>
                </c:pt>
                <c:pt idx="17">
                  <c:v>100</c:v>
                </c:pt>
                <c:pt idx="18">
                  <c:v>80</c:v>
                </c:pt>
                <c:pt idx="19">
                  <c:v>0</c:v>
                </c:pt>
                <c:pt idx="20">
                  <c:v>0</c:v>
                </c:pt>
                <c:pt idx="21">
                  <c:v>0</c:v>
                </c:pt>
                <c:pt idx="22">
                  <c:v>50</c:v>
                </c:pt>
                <c:pt idx="23">
                  <c:v>0</c:v>
                </c:pt>
                <c:pt idx="24">
                  <c:v>80</c:v>
                </c:pt>
                <c:pt idx="25">
                  <c:v>0</c:v>
                </c:pt>
                <c:pt idx="26">
                  <c:v>0</c:v>
                </c:pt>
                <c:pt idx="27">
                  <c:v>0</c:v>
                </c:pt>
                <c:pt idx="28">
                  <c:v>80</c:v>
                </c:pt>
                <c:pt idx="29">
                  <c:v>0</c:v>
                </c:pt>
                <c:pt idx="30">
                  <c:v>0</c:v>
                </c:pt>
                <c:pt idx="31">
                  <c:v>80</c:v>
                </c:pt>
                <c:pt idx="32">
                  <c:v>50</c:v>
                </c:pt>
                <c:pt idx="33">
                  <c:v>100</c:v>
                </c:pt>
                <c:pt idx="34">
                  <c:v>80</c:v>
                </c:pt>
                <c:pt idx="35">
                  <c:v>80</c:v>
                </c:pt>
                <c:pt idx="36">
                  <c:v>80</c:v>
                </c:pt>
                <c:pt idx="37">
                  <c:v>50</c:v>
                </c:pt>
                <c:pt idx="38">
                  <c:v>80</c:v>
                </c:pt>
                <c:pt idx="39">
                  <c:v>80</c:v>
                </c:pt>
              </c:numCache>
            </c:numRef>
          </c:val>
        </c:ser>
        <c:gapWidth val="30"/>
        <c:overlap val="0"/>
        <c:axId val="31098988"/>
        <c:axId val="10604043"/>
      </c:barChart>
      <c:catAx>
        <c:axId val="31098988"/>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0604043"/>
        <c:crosses val="autoZero"/>
        <c:auto val="1"/>
        <c:lblAlgn val="ctr"/>
        <c:lblOffset val="100"/>
        <c:noMultiLvlLbl val="0"/>
      </c:catAx>
      <c:valAx>
        <c:axId val="10604043"/>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31098988"/>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5 Threat Landscape
Resulting Governance/Management Objectives Importance</a:t>
            </a:r>
          </a:p>
        </c:rich>
      </c:tx>
      <c:layout>
        <c:manualLayout>
          <c:xMode val="edge"/>
          <c:yMode val="edge"/>
          <c:x val="0.178252799233579"/>
          <c:y val="0.0197913880716769"/>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80</c:v>
                </c:pt>
                <c:pt idx="1">
                  <c:v>0</c:v>
                </c:pt>
                <c:pt idx="2">
                  <c:v>100</c:v>
                </c:pt>
                <c:pt idx="3">
                  <c:v>0</c:v>
                </c:pt>
                <c:pt idx="4">
                  <c:v>50</c:v>
                </c:pt>
                <c:pt idx="5">
                  <c:v>80</c:v>
                </c:pt>
                <c:pt idx="6">
                  <c:v>0</c:v>
                </c:pt>
                <c:pt idx="7">
                  <c:v>80</c:v>
                </c:pt>
                <c:pt idx="8">
                  <c:v>0</c:v>
                </c:pt>
                <c:pt idx="9">
                  <c:v>0</c:v>
                </c:pt>
                <c:pt idx="10">
                  <c:v>0</c:v>
                </c:pt>
                <c:pt idx="11">
                  <c:v>50</c:v>
                </c:pt>
                <c:pt idx="12">
                  <c:v>0</c:v>
                </c:pt>
                <c:pt idx="13">
                  <c:v>50</c:v>
                </c:pt>
                <c:pt idx="14">
                  <c:v>80</c:v>
                </c:pt>
                <c:pt idx="15">
                  <c:v>50</c:v>
                </c:pt>
                <c:pt idx="16">
                  <c:v>100</c:v>
                </c:pt>
                <c:pt idx="17">
                  <c:v>100</c:v>
                </c:pt>
                <c:pt idx="18">
                  <c:v>80</c:v>
                </c:pt>
                <c:pt idx="19">
                  <c:v>0</c:v>
                </c:pt>
                <c:pt idx="20">
                  <c:v>0</c:v>
                </c:pt>
                <c:pt idx="21">
                  <c:v>0</c:v>
                </c:pt>
                <c:pt idx="22">
                  <c:v>50</c:v>
                </c:pt>
                <c:pt idx="23">
                  <c:v>0</c:v>
                </c:pt>
                <c:pt idx="24">
                  <c:v>80</c:v>
                </c:pt>
                <c:pt idx="25">
                  <c:v>0</c:v>
                </c:pt>
                <c:pt idx="26">
                  <c:v>0</c:v>
                </c:pt>
                <c:pt idx="27">
                  <c:v>0</c:v>
                </c:pt>
                <c:pt idx="28">
                  <c:v>80</c:v>
                </c:pt>
                <c:pt idx="29">
                  <c:v>0</c:v>
                </c:pt>
                <c:pt idx="30">
                  <c:v>0</c:v>
                </c:pt>
                <c:pt idx="31">
                  <c:v>80</c:v>
                </c:pt>
                <c:pt idx="32">
                  <c:v>50</c:v>
                </c:pt>
                <c:pt idx="33">
                  <c:v>100</c:v>
                </c:pt>
                <c:pt idx="34">
                  <c:v>80</c:v>
                </c:pt>
                <c:pt idx="35">
                  <c:v>80</c:v>
                </c:pt>
                <c:pt idx="36">
                  <c:v>80</c:v>
                </c:pt>
                <c:pt idx="37">
                  <c:v>50</c:v>
                </c:pt>
                <c:pt idx="38">
                  <c:v>80</c:v>
                </c:pt>
                <c:pt idx="39">
                  <c:v>80</c:v>
                </c:pt>
              </c:numCache>
            </c:numRef>
          </c:val>
        </c:ser>
        <c:axId val="4795804"/>
        <c:axId val="16150176"/>
      </c:radarChart>
      <c:catAx>
        <c:axId val="4795804"/>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16150176"/>
        <c:crosses val="autoZero"/>
        <c:auto val="1"/>
        <c:lblAlgn val="ctr"/>
        <c:lblOffset val="100"/>
        <c:noMultiLvlLbl val="0"/>
      </c:catAx>
      <c:valAx>
        <c:axId val="16150176"/>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4795804"/>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49" strike="noStrike">
                <a:solidFill>
                  <a:srgbClr val="595959"/>
                </a:solidFill>
                <a:latin typeface="Calibri"/>
              </a:defRPr>
            </a:pPr>
            <a:r>
              <a:rPr b="0" lang="en-US" sz="1200" spc="49" strike="noStrike">
                <a:solidFill>
                  <a:srgbClr val="595959"/>
                </a:solidFill>
                <a:latin typeface="Calibri"/>
              </a:rPr>
              <a:t>Design Factor 6 Compliance Requirements</a:t>
            </a:r>
          </a:p>
        </c:rich>
      </c:tx>
      <c:layout>
        <c:manualLayout>
          <c:xMode val="edge"/>
          <c:yMode val="edge"/>
          <c:x val="0.234693036670787"/>
          <c:y val="0.0257910349373764"/>
        </c:manualLayout>
      </c:layout>
      <c:overlay val="0"/>
      <c:spPr>
        <a:noFill/>
        <a:ln w="0">
          <a:noFill/>
        </a:ln>
      </c:spPr>
    </c:title>
    <c:autoTitleDeleted val="0"/>
    <c:plotArea>
      <c:pieChart>
        <c:varyColors val="1"/>
        <c:ser>
          <c:idx val="0"/>
          <c:order val="0"/>
          <c:spPr>
            <a:solidFill>
              <a:srgbClr val="4472c4"/>
            </a:solidFill>
            <a:ln w="0">
              <a:noFill/>
            </a:ln>
          </c:spPr>
          <c:explosion val="0"/>
          <c:dPt>
            <c:idx val="0"/>
            <c:spPr>
              <a:solidFill>
                <a:srgbClr val="4472c4"/>
              </a:solidFill>
              <a:ln w="0">
                <a:noFill/>
              </a:ln>
            </c:spPr>
          </c:dPt>
          <c:dPt>
            <c:idx val="1"/>
            <c:spPr>
              <a:solidFill>
                <a:srgbClr val="ed7d31"/>
              </a:solidFill>
              <a:ln w="0">
                <a:noFill/>
              </a:ln>
            </c:spPr>
          </c:dPt>
          <c:dPt>
            <c:idx val="2"/>
            <c:spPr>
              <a:solidFill>
                <a:srgbClr val="a5a5a5"/>
              </a:solidFill>
              <a:ln w="0">
                <a:noFill/>
              </a:ln>
            </c:spPr>
          </c:dPt>
          <c:dLbls>
            <c:dLbl>
              <c:idx val="0"/>
              <c:txPr>
                <a:bodyPr wrap="square"/>
                <a:lstStyle/>
                <a:p>
                  <a:pPr>
                    <a:defRPr b="1" sz="900" spc="-1" strike="noStrike">
                      <a:solidFill>
                        <a:srgbClr val="ffffff"/>
                      </a:solidFill>
                      <a:latin typeface="Calibri"/>
                    </a:defRPr>
                  </a:pPr>
                </a:p>
              </c:txPr>
              <c:dLblPos val="inEnd"/>
              <c:showLegendKey val="0"/>
              <c:showVal val="0"/>
              <c:showCatName val="0"/>
              <c:showSerName val="0"/>
              <c:showPercent val="1"/>
              <c:separator>
</c:separator>
            </c:dLbl>
            <c:dLbl>
              <c:idx val="1"/>
              <c:txPr>
                <a:bodyPr wrap="square"/>
                <a:lstStyle/>
                <a:p>
                  <a:pPr>
                    <a:defRPr b="1" sz="900" spc="-1" strike="noStrike">
                      <a:solidFill>
                        <a:srgbClr val="ffffff"/>
                      </a:solidFill>
                      <a:latin typeface="Calibri"/>
                    </a:defRPr>
                  </a:pPr>
                </a:p>
              </c:txPr>
              <c:dLblPos val="inEnd"/>
              <c:showLegendKey val="0"/>
              <c:showVal val="0"/>
              <c:showCatName val="0"/>
              <c:showSerName val="0"/>
              <c:showPercent val="1"/>
              <c:separator>
</c:separator>
            </c:dLbl>
            <c:dLbl>
              <c:idx val="2"/>
              <c:txPr>
                <a:bodyPr wrap="square"/>
                <a:lstStyle/>
                <a:p>
                  <a:pPr>
                    <a:defRPr b="1" sz="900" spc="-1" strike="noStrike">
                      <a:solidFill>
                        <a:srgbClr val="ffffff"/>
                      </a:solidFill>
                      <a:latin typeface="Calibri"/>
                    </a:defRPr>
                  </a:pPr>
                </a:p>
              </c:txPr>
              <c:dLblPos val="inEnd"/>
              <c:showLegendKey val="0"/>
              <c:showVal val="0"/>
              <c:showCatName val="0"/>
              <c:showSerName val="0"/>
              <c:showPercent val="1"/>
              <c:separator>
</c:separator>
            </c:dLbl>
            <c:txPr>
              <a:bodyPr wrap="square"/>
              <a:lstStyle/>
              <a:p>
                <a:pPr>
                  <a:defRPr b="1" sz="900" spc="-1" strike="noStrike">
                    <a:solidFill>
                      <a:srgbClr val="ffffff"/>
                    </a:solidFill>
                    <a:latin typeface="Calibri"/>
                  </a:defRPr>
                </a:pPr>
              </a:p>
            </c:txPr>
            <c:dLblPos val="inEnd"/>
            <c:showLegendKey val="0"/>
            <c:showVal val="0"/>
            <c:showCatName val="0"/>
            <c:showSerName val="0"/>
            <c:showPercent val="1"/>
            <c:separator>
</c:separator>
            <c:showLeaderLines val="1"/>
          </c:dLbls>
          <c:cat>
            <c:strRef>
              <c:f>DF6!$A$7:$A$9</c:f>
              <c:strCache>
                <c:ptCount val="3"/>
                <c:pt idx="0">
                  <c:v>High</c:v>
                </c:pt>
                <c:pt idx="1">
                  <c:v>Normal</c:v>
                </c:pt>
                <c:pt idx="2">
                  <c:v>Low</c:v>
                </c:pt>
              </c:strCache>
            </c:strRef>
          </c:cat>
          <c:val>
            <c:numRef>
              <c:f>DF6!$B$7:$B$9</c:f>
              <c:numCache>
                <c:formatCode>0%</c:formatCode>
                <c:ptCount val="3"/>
                <c:pt idx="0">
                  <c:v>1</c:v>
                </c:pt>
                <c:pt idx="1">
                  <c:v>0</c:v>
                </c:pt>
                <c:pt idx="2">
                  <c:v>0</c:v>
                </c:pt>
              </c:numCache>
            </c:numRef>
          </c:val>
        </c:ser>
        <c:firstSliceAng val="0"/>
      </c:pieChart>
      <c:spPr>
        <a:noFill/>
        <a:ln w="0">
          <a:noFill/>
        </a:ln>
      </c:spPr>
    </c:plotArea>
    <c:legend>
      <c:legendPos val="t"/>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6 Compliance Requirements
Resulting Governance/Management
Objectives Importance</a:t>
            </a:r>
          </a:p>
        </c:rich>
      </c:tx>
      <c:layout>
        <c:manualLayout>
          <c:xMode val="edge"/>
          <c:yMode val="edge"/>
          <c:x val="0.301488833746898"/>
          <c:y val="0.0100430416068867"/>
        </c:manualLayout>
      </c:layout>
      <c:overlay val="0"/>
      <c:spPr>
        <a:noFill/>
        <a:ln w="0">
          <a:noFill/>
        </a:ln>
      </c:spPr>
    </c:title>
    <c:autoTitleDeleted val="0"/>
    <c:plotArea>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0</c:v>
                </c:pt>
                <c:pt idx="2">
                  <c:v>100</c:v>
                </c:pt>
                <c:pt idx="3">
                  <c:v>0</c:v>
                </c:pt>
                <c:pt idx="4">
                  <c:v>50</c:v>
                </c:pt>
                <c:pt idx="5">
                  <c:v>35</c:v>
                </c:pt>
                <c:pt idx="6">
                  <c:v>0</c:v>
                </c:pt>
                <c:pt idx="7">
                  <c:v>0</c:v>
                </c:pt>
                <c:pt idx="8">
                  <c:v>0</c:v>
                </c:pt>
                <c:pt idx="9">
                  <c:v>0</c:v>
                </c:pt>
                <c:pt idx="10">
                  <c:v>0</c:v>
                </c:pt>
                <c:pt idx="11">
                  <c:v>0</c:v>
                </c:pt>
                <c:pt idx="12">
                  <c:v>0</c:v>
                </c:pt>
                <c:pt idx="13">
                  <c:v>0</c:v>
                </c:pt>
                <c:pt idx="14">
                  <c:v>50</c:v>
                </c:pt>
                <c:pt idx="15">
                  <c:v>0</c:v>
                </c:pt>
                <c:pt idx="16">
                  <c:v>100</c:v>
                </c:pt>
                <c:pt idx="17">
                  <c:v>50</c:v>
                </c:pt>
                <c:pt idx="18">
                  <c:v>35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50</c:v>
                </c:pt>
                <c:pt idx="34">
                  <c:v>100</c:v>
                </c:pt>
                <c:pt idx="35">
                  <c:v>0</c:v>
                </c:pt>
                <c:pt idx="36">
                  <c:v>0</c:v>
                </c:pt>
                <c:pt idx="37">
                  <c:v>0</c:v>
                </c:pt>
                <c:pt idx="38">
                  <c:v>100</c:v>
                </c:pt>
                <c:pt idx="39">
                  <c:v>75</c:v>
                </c:pt>
              </c:numCache>
            </c:numRef>
          </c:val>
        </c:ser>
        <c:gapWidth val="35"/>
        <c:overlap val="0"/>
        <c:axId val="15756155"/>
        <c:axId val="55910163"/>
      </c:barChart>
      <c:catAx>
        <c:axId val="15756155"/>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5910163"/>
        <c:crosses val="autoZero"/>
        <c:auto val="1"/>
        <c:lblAlgn val="ctr"/>
        <c:lblOffset val="100"/>
        <c:noMultiLvlLbl val="0"/>
      </c:catAx>
      <c:valAx>
        <c:axId val="55910163"/>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15756155"/>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6 Compliance Requirements
Resulting Governance/Management Objectives Importance</a:t>
            </a:r>
          </a:p>
        </c:rich>
      </c:tx>
      <c:layout>
        <c:manualLayout>
          <c:xMode val="edge"/>
          <c:yMode val="edge"/>
          <c:x val="0.175006270378731"/>
          <c:y val="0.0105362266857963"/>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0</c:v>
                </c:pt>
                <c:pt idx="2">
                  <c:v>100</c:v>
                </c:pt>
                <c:pt idx="3">
                  <c:v>0</c:v>
                </c:pt>
                <c:pt idx="4">
                  <c:v>50</c:v>
                </c:pt>
                <c:pt idx="5">
                  <c:v>35</c:v>
                </c:pt>
                <c:pt idx="6">
                  <c:v>0</c:v>
                </c:pt>
                <c:pt idx="7">
                  <c:v>0</c:v>
                </c:pt>
                <c:pt idx="8">
                  <c:v>0</c:v>
                </c:pt>
                <c:pt idx="9">
                  <c:v>0</c:v>
                </c:pt>
                <c:pt idx="10">
                  <c:v>0</c:v>
                </c:pt>
                <c:pt idx="11">
                  <c:v>0</c:v>
                </c:pt>
                <c:pt idx="12">
                  <c:v>0</c:v>
                </c:pt>
                <c:pt idx="13">
                  <c:v>0</c:v>
                </c:pt>
                <c:pt idx="14">
                  <c:v>50</c:v>
                </c:pt>
                <c:pt idx="15">
                  <c:v>0</c:v>
                </c:pt>
                <c:pt idx="16">
                  <c:v>100</c:v>
                </c:pt>
                <c:pt idx="17">
                  <c:v>50</c:v>
                </c:pt>
                <c:pt idx="18">
                  <c:v>35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50</c:v>
                </c:pt>
                <c:pt idx="34">
                  <c:v>100</c:v>
                </c:pt>
                <c:pt idx="35">
                  <c:v>0</c:v>
                </c:pt>
                <c:pt idx="36">
                  <c:v>0</c:v>
                </c:pt>
                <c:pt idx="37">
                  <c:v>0</c:v>
                </c:pt>
                <c:pt idx="38">
                  <c:v>100</c:v>
                </c:pt>
                <c:pt idx="39">
                  <c:v>75</c:v>
                </c:pt>
              </c:numCache>
            </c:numRef>
          </c:val>
        </c:ser>
        <c:axId val="69193651"/>
        <c:axId val="78856089"/>
      </c:radarChart>
      <c:catAx>
        <c:axId val="69193651"/>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78856089"/>
        <c:crosses val="autoZero"/>
        <c:auto val="1"/>
        <c:lblAlgn val="ctr"/>
        <c:lblOffset val="100"/>
        <c:noMultiLvlLbl val="0"/>
      </c:catAx>
      <c:valAx>
        <c:axId val="78856089"/>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69193651"/>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8" strike="noStrike">
                <a:solidFill>
                  <a:srgbClr val="000000"/>
                </a:solidFill>
                <a:latin typeface="Calibri"/>
              </a:defRPr>
            </a:pPr>
            <a:r>
              <a:rPr b="0" lang="en-US" sz="1200" spc="18" strike="noStrike">
                <a:solidFill>
                  <a:srgbClr val="000000"/>
                </a:solidFill>
                <a:latin typeface="Calibri"/>
              </a:rPr>
              <a:t>Design Factor 7 Role of IT (Input)</a:t>
            </a:r>
          </a:p>
        </c:rich>
      </c:tx>
      <c:overlay val="0"/>
      <c:spPr>
        <a:noFill/>
        <a:ln w="0">
          <a:noFill/>
        </a:ln>
      </c:spPr>
    </c:title>
    <c:autoTitleDeleted val="0"/>
    <c:plotArea>
      <c:barChart>
        <c:barDir val="bar"/>
        <c:grouping val="clustered"/>
        <c:varyColors val="1"/>
        <c:ser>
          <c:idx val="0"/>
          <c:order val="0"/>
          <c:spPr>
            <a:solidFill>
              <a:srgbClr val="4472c4"/>
            </a:solidFill>
            <a:ln w="0">
              <a:noFill/>
            </a:ln>
          </c:spPr>
          <c:invertIfNegative val="0"/>
          <c:dPt>
            <c:idx val="0"/>
            <c:spPr>
              <a:gradFill>
                <a:gsLst>
                  <a:gs pos="0">
                    <a:srgbClr val="bdc7e5"/>
                  </a:gs>
                  <a:gs pos="50000">
                    <a:srgbClr val="a4b3dc"/>
                  </a:gs>
                  <a:gs pos="100000">
                    <a:srgbClr val="8fa3d8"/>
                  </a:gs>
                </a:gsLst>
                <a:lin ang="5400000"/>
              </a:gradFill>
              <a:ln w="9360">
                <a:solidFill>
                  <a:srgbClr val="426fbf"/>
                </a:solidFill>
                <a:round/>
              </a:ln>
            </c:spPr>
          </c:dPt>
          <c:dPt>
            <c:idx val="1"/>
            <c:spPr>
              <a:gradFill>
                <a:gsLst>
                  <a:gs pos="0">
                    <a:srgbClr val="f9d0c2"/>
                  </a:gs>
                  <a:gs pos="50000">
                    <a:srgbClr val="f5baa4"/>
                  </a:gs>
                  <a:gs pos="100000">
                    <a:srgbClr val="f6aa8c"/>
                  </a:gs>
                </a:gsLst>
                <a:lin ang="5400000"/>
              </a:gradFill>
              <a:ln w="9360">
                <a:solidFill>
                  <a:srgbClr val="e77a2f"/>
                </a:solidFill>
                <a:round/>
              </a:ln>
            </c:spPr>
          </c:dPt>
          <c:dPt>
            <c:idx val="2"/>
            <c:spPr>
              <a:gradFill>
                <a:gsLst>
                  <a:gs pos="0">
                    <a:srgbClr val="dcdcdc"/>
                  </a:gs>
                  <a:gs pos="50000">
                    <a:srgbClr val="cccccc"/>
                  </a:gs>
                  <a:gs pos="100000">
                    <a:srgbClr val="c3c3c3"/>
                  </a:gs>
                </a:gsLst>
                <a:lin ang="5400000"/>
              </a:gradFill>
              <a:ln w="9360">
                <a:solidFill>
                  <a:srgbClr val="a1a1a1"/>
                </a:solidFill>
                <a:round/>
              </a:ln>
            </c:spPr>
          </c:dPt>
          <c:dPt>
            <c:idx val="3"/>
            <c:spPr>
              <a:gradFill>
                <a:gsLst>
                  <a:gs pos="0">
                    <a:srgbClr val="ffe8c6"/>
                  </a:gs>
                  <a:gs pos="50000">
                    <a:srgbClr val="ffdba4"/>
                  </a:gs>
                  <a:gs pos="100000">
                    <a:srgbClr val="ffd48e"/>
                  </a:gs>
                </a:gsLst>
                <a:lin ang="5400000"/>
              </a:gradFill>
              <a:ln w="9360">
                <a:solidFill>
                  <a:srgbClr val="f9bb00"/>
                </a:solidFill>
                <a:round/>
              </a:ln>
            </c:spPr>
          </c:dPt>
          <c:dLbls>
            <c:numFmt formatCode="0" sourceLinked="1"/>
            <c:dLbl>
              <c:idx val="0"/>
              <c:numFmt formatCode="0" sourceLinked="1"/>
              <c:txPr>
                <a:bodyPr wrap="square"/>
                <a:lstStyle/>
                <a:p>
                  <a:pPr>
                    <a:defRPr b="1" sz="1200" spc="-1" strike="noStrike">
                      <a:solidFill>
                        <a:srgbClr val="000000"/>
                      </a:solidFill>
                      <a:latin typeface="Calibri"/>
                    </a:defRPr>
                  </a:pPr>
                </a:p>
              </c:txPr>
              <c:dLblPos val="inEnd"/>
              <c:showLegendKey val="0"/>
              <c:showVal val="1"/>
              <c:showCatName val="0"/>
              <c:showSerName val="0"/>
              <c:showPercent val="0"/>
              <c:separator>; </c:separator>
            </c:dLbl>
            <c:dLbl>
              <c:idx val="1"/>
              <c:numFmt formatCode="0" sourceLinked="1"/>
              <c:txPr>
                <a:bodyPr wrap="square"/>
                <a:lstStyle/>
                <a:p>
                  <a:pPr>
                    <a:defRPr b="1" sz="1200" spc="-1" strike="noStrike">
                      <a:solidFill>
                        <a:srgbClr val="000000"/>
                      </a:solidFill>
                      <a:latin typeface="Calibri"/>
                    </a:defRPr>
                  </a:pPr>
                </a:p>
              </c:txPr>
              <c:dLblPos val="inEnd"/>
              <c:showLegendKey val="0"/>
              <c:showVal val="1"/>
              <c:showCatName val="0"/>
              <c:showSerName val="0"/>
              <c:showPercent val="0"/>
              <c:separator>; </c:separator>
            </c:dLbl>
            <c:dLbl>
              <c:idx val="2"/>
              <c:numFmt formatCode="0" sourceLinked="1"/>
              <c:txPr>
                <a:bodyPr wrap="square"/>
                <a:lstStyle/>
                <a:p>
                  <a:pPr>
                    <a:defRPr b="1" sz="1200" spc="-1" strike="noStrike">
                      <a:solidFill>
                        <a:srgbClr val="000000"/>
                      </a:solidFill>
                      <a:latin typeface="Calibri"/>
                    </a:defRPr>
                  </a:pPr>
                </a:p>
              </c:txPr>
              <c:dLblPos val="inEnd"/>
              <c:showLegendKey val="0"/>
              <c:showVal val="1"/>
              <c:showCatName val="0"/>
              <c:showSerName val="0"/>
              <c:showPercent val="0"/>
              <c:separator>; </c:separator>
            </c:dLbl>
            <c:dLbl>
              <c:idx val="3"/>
              <c:numFmt formatCode="0" sourceLinked="1"/>
              <c:txPr>
                <a:bodyPr wrap="square"/>
                <a:lstStyle/>
                <a:p>
                  <a:pPr>
                    <a:defRPr b="1" sz="1200" spc="-1" strike="noStrike">
                      <a:solidFill>
                        <a:srgbClr val="000000"/>
                      </a:solidFill>
                      <a:latin typeface="Calibri"/>
                    </a:defRPr>
                  </a:pPr>
                </a:p>
              </c:txPr>
              <c:dLblPos val="inEnd"/>
              <c:showLegendKey val="0"/>
              <c:showVal val="1"/>
              <c:showCatName val="0"/>
              <c:showSerName val="0"/>
              <c:showPercent val="0"/>
              <c:separator>; </c:separator>
            </c:dLbl>
            <c:txPr>
              <a:bodyPr wrap="square"/>
              <a:lstStyle/>
              <a:p>
                <a:pPr>
                  <a:defRPr b="1" sz="1200" spc="-1" strike="noStrike">
                    <a:solidFill>
                      <a:srgbClr val="000000"/>
                    </a:solidFill>
                    <a:latin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DF7!$A$6:$A$9</c:f>
              <c:strCache>
                <c:ptCount val="4"/>
                <c:pt idx="0">
                  <c:v>Support</c:v>
                </c:pt>
                <c:pt idx="1">
                  <c:v>Factory</c:v>
                </c:pt>
                <c:pt idx="2">
                  <c:v>Turnaround</c:v>
                </c:pt>
                <c:pt idx="3">
                  <c:v>Strategic</c:v>
                </c:pt>
              </c:strCache>
            </c:strRef>
          </c:cat>
          <c:val>
            <c:numRef>
              <c:f>DF7!$B$6:$B$9</c:f>
              <c:numCache>
                <c:formatCode>0</c:formatCode>
                <c:ptCount val="4"/>
                <c:pt idx="0">
                  <c:v>2</c:v>
                </c:pt>
                <c:pt idx="1">
                  <c:v>5</c:v>
                </c:pt>
                <c:pt idx="2">
                  <c:v>2</c:v>
                </c:pt>
                <c:pt idx="3">
                  <c:v>5</c:v>
                </c:pt>
              </c:numCache>
            </c:numRef>
          </c:val>
        </c:ser>
        <c:gapWidth val="30"/>
        <c:overlap val="0"/>
        <c:axId val="19458482"/>
        <c:axId val="2472624"/>
      </c:barChart>
      <c:catAx>
        <c:axId val="19458482"/>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1" sz="1000" spc="-1" strike="noStrike">
                <a:solidFill>
                  <a:srgbClr val="808080"/>
                </a:solidFill>
                <a:latin typeface="Calibri"/>
              </a:defRPr>
            </a:pPr>
          </a:p>
        </c:txPr>
        <c:crossAx val="2472624"/>
        <c:crosses val="autoZero"/>
        <c:auto val="1"/>
        <c:lblAlgn val="ctr"/>
        <c:lblOffset val="100"/>
        <c:noMultiLvlLbl val="0"/>
      </c:catAx>
      <c:valAx>
        <c:axId val="2472624"/>
        <c:scaling>
          <c:orientation val="minMax"/>
          <c:max val="5"/>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sz="900" spc="-1" strike="noStrike">
                <a:solidFill>
                  <a:srgbClr val="808080"/>
                </a:solidFill>
                <a:latin typeface="Calibri"/>
              </a:defRPr>
            </a:pPr>
          </a:p>
        </c:txPr>
        <c:crossAx val="19458482"/>
        <c:crosses val="autoZero"/>
        <c:crossBetween val="between"/>
        <c:majorUnit val="1"/>
      </c:valAx>
      <c:spPr>
        <a:noFill/>
        <a:ln w="0">
          <a:noFill/>
        </a:ln>
      </c:spPr>
    </c:plotArea>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7 Role of IT
Resulting Governance/Management Objectives Importance</a:t>
            </a:r>
          </a:p>
        </c:rich>
      </c:tx>
      <c:layout>
        <c:manualLayout>
          <c:xMode val="edge"/>
          <c:yMode val="edge"/>
          <c:x val="0.144707458686914"/>
          <c:y val="0.0387482626458325"/>
        </c:manualLayout>
      </c:layout>
      <c:overlay val="0"/>
      <c:spPr>
        <a:noFill/>
        <a:ln w="0">
          <a:noFill/>
        </a:ln>
      </c:spPr>
    </c:title>
    <c:autoTitleDeleted val="0"/>
    <c:plotArea>
      <c:layout>
        <c:manualLayout>
          <c:layoutTarget val="inner"/>
          <c:xMode val="edge"/>
          <c:yMode val="edge"/>
          <c:x val="0.0800580616346583"/>
          <c:y val="0.14736975108453"/>
          <c:w val="0.845131755247879"/>
          <c:h val="0.831697763551363"/>
        </c:manualLayout>
      </c:layout>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20</c:v>
                </c:pt>
                <c:pt idx="1">
                  <c:v>5</c:v>
                </c:pt>
                <c:pt idx="2">
                  <c:v>20</c:v>
                </c:pt>
                <c:pt idx="3">
                  <c:v>10</c:v>
                </c:pt>
                <c:pt idx="4">
                  <c:v>10</c:v>
                </c:pt>
                <c:pt idx="5">
                  <c:v>10</c:v>
                </c:pt>
                <c:pt idx="6">
                  <c:v>0</c:v>
                </c:pt>
                <c:pt idx="7">
                  <c:v>0</c:v>
                </c:pt>
                <c:pt idx="8">
                  <c:v>5</c:v>
                </c:pt>
                <c:pt idx="9">
                  <c:v>5</c:v>
                </c:pt>
                <c:pt idx="10">
                  <c:v>10</c:v>
                </c:pt>
                <c:pt idx="11">
                  <c:v>5</c:v>
                </c:pt>
                <c:pt idx="12">
                  <c:v>5</c:v>
                </c:pt>
                <c:pt idx="13">
                  <c:v>10</c:v>
                </c:pt>
                <c:pt idx="14">
                  <c:v>10</c:v>
                </c:pt>
                <c:pt idx="15">
                  <c:v>5</c:v>
                </c:pt>
                <c:pt idx="16">
                  <c:v>20</c:v>
                </c:pt>
                <c:pt idx="17">
                  <c:v>15</c:v>
                </c:pt>
                <c:pt idx="18">
                  <c:v>10</c:v>
                </c:pt>
                <c:pt idx="19">
                  <c:v>5</c:v>
                </c:pt>
                <c:pt idx="20">
                  <c:v>0</c:v>
                </c:pt>
                <c:pt idx="21">
                  <c:v>0</c:v>
                </c:pt>
                <c:pt idx="22">
                  <c:v>10</c:v>
                </c:pt>
                <c:pt idx="23">
                  <c:v>10</c:v>
                </c:pt>
                <c:pt idx="24">
                  <c:v>15</c:v>
                </c:pt>
                <c:pt idx="25">
                  <c:v>0</c:v>
                </c:pt>
                <c:pt idx="26">
                  <c:v>10</c:v>
                </c:pt>
                <c:pt idx="27">
                  <c:v>10</c:v>
                </c:pt>
                <c:pt idx="28">
                  <c:v>10</c:v>
                </c:pt>
                <c:pt idx="29">
                  <c:v>0</c:v>
                </c:pt>
                <c:pt idx="30">
                  <c:v>25</c:v>
                </c:pt>
                <c:pt idx="31">
                  <c:v>20</c:v>
                </c:pt>
                <c:pt idx="32">
                  <c:v>20</c:v>
                </c:pt>
                <c:pt idx="33">
                  <c:v>20</c:v>
                </c:pt>
                <c:pt idx="34">
                  <c:v>15</c:v>
                </c:pt>
                <c:pt idx="35">
                  <c:v>10</c:v>
                </c:pt>
                <c:pt idx="36">
                  <c:v>10</c:v>
                </c:pt>
                <c:pt idx="37">
                  <c:v>10</c:v>
                </c:pt>
                <c:pt idx="38">
                  <c:v>5</c:v>
                </c:pt>
                <c:pt idx="39">
                  <c:v>10</c:v>
                </c:pt>
              </c:numCache>
            </c:numRef>
          </c:val>
        </c:ser>
        <c:gapWidth val="30"/>
        <c:overlap val="0"/>
        <c:axId val="82313111"/>
        <c:axId val="55180688"/>
      </c:barChart>
      <c:catAx>
        <c:axId val="82313111"/>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5180688"/>
        <c:crosses val="autoZero"/>
        <c:auto val="1"/>
        <c:lblAlgn val="ctr"/>
        <c:lblOffset val="100"/>
        <c:noMultiLvlLbl val="0"/>
      </c:catAx>
      <c:valAx>
        <c:axId val="55180688"/>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82313111"/>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7 Role of IT
Resulting Governance/Management Objectives Importance</a:t>
            </a:r>
          </a:p>
        </c:rich>
      </c:tx>
      <c:layout>
        <c:manualLayout>
          <c:xMode val="edge"/>
          <c:yMode val="edge"/>
          <c:x val="0.181638480122996"/>
          <c:y val="0.0203360987024037"/>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20</c:v>
                </c:pt>
                <c:pt idx="1">
                  <c:v>5</c:v>
                </c:pt>
                <c:pt idx="2">
                  <c:v>20</c:v>
                </c:pt>
                <c:pt idx="3">
                  <c:v>10</c:v>
                </c:pt>
                <c:pt idx="4">
                  <c:v>10</c:v>
                </c:pt>
                <c:pt idx="5">
                  <c:v>10</c:v>
                </c:pt>
                <c:pt idx="6">
                  <c:v>0</c:v>
                </c:pt>
                <c:pt idx="7">
                  <c:v>0</c:v>
                </c:pt>
                <c:pt idx="8">
                  <c:v>5</c:v>
                </c:pt>
                <c:pt idx="9">
                  <c:v>5</c:v>
                </c:pt>
                <c:pt idx="10">
                  <c:v>10</c:v>
                </c:pt>
                <c:pt idx="11">
                  <c:v>5</c:v>
                </c:pt>
                <c:pt idx="12">
                  <c:v>5</c:v>
                </c:pt>
                <c:pt idx="13">
                  <c:v>10</c:v>
                </c:pt>
                <c:pt idx="14">
                  <c:v>10</c:v>
                </c:pt>
                <c:pt idx="15">
                  <c:v>5</c:v>
                </c:pt>
                <c:pt idx="16">
                  <c:v>20</c:v>
                </c:pt>
                <c:pt idx="17">
                  <c:v>15</c:v>
                </c:pt>
                <c:pt idx="18">
                  <c:v>10</c:v>
                </c:pt>
                <c:pt idx="19">
                  <c:v>5</c:v>
                </c:pt>
                <c:pt idx="20">
                  <c:v>0</c:v>
                </c:pt>
                <c:pt idx="21">
                  <c:v>0</c:v>
                </c:pt>
                <c:pt idx="22">
                  <c:v>10</c:v>
                </c:pt>
                <c:pt idx="23">
                  <c:v>10</c:v>
                </c:pt>
                <c:pt idx="24">
                  <c:v>15</c:v>
                </c:pt>
                <c:pt idx="25">
                  <c:v>0</c:v>
                </c:pt>
                <c:pt idx="26">
                  <c:v>10</c:v>
                </c:pt>
                <c:pt idx="27">
                  <c:v>10</c:v>
                </c:pt>
                <c:pt idx="28">
                  <c:v>10</c:v>
                </c:pt>
                <c:pt idx="29">
                  <c:v>0</c:v>
                </c:pt>
                <c:pt idx="30">
                  <c:v>25</c:v>
                </c:pt>
                <c:pt idx="31">
                  <c:v>20</c:v>
                </c:pt>
                <c:pt idx="32">
                  <c:v>20</c:v>
                </c:pt>
                <c:pt idx="33">
                  <c:v>20</c:v>
                </c:pt>
                <c:pt idx="34">
                  <c:v>15</c:v>
                </c:pt>
                <c:pt idx="35">
                  <c:v>10</c:v>
                </c:pt>
                <c:pt idx="36">
                  <c:v>10</c:v>
                </c:pt>
                <c:pt idx="37">
                  <c:v>10</c:v>
                </c:pt>
                <c:pt idx="38">
                  <c:v>5</c:v>
                </c:pt>
                <c:pt idx="39">
                  <c:v>10</c:v>
                </c:pt>
              </c:numCache>
            </c:numRef>
          </c:val>
        </c:ser>
        <c:axId val="62488816"/>
        <c:axId val="1009480"/>
      </c:radarChart>
      <c:catAx>
        <c:axId val="62488816"/>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1009480"/>
        <c:crosses val="autoZero"/>
        <c:auto val="1"/>
        <c:lblAlgn val="ctr"/>
        <c:lblOffset val="100"/>
        <c:noMultiLvlLbl val="0"/>
      </c:catAx>
      <c:valAx>
        <c:axId val="1009480"/>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62488816"/>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49" strike="noStrike">
                <a:solidFill>
                  <a:srgbClr val="595959"/>
                </a:solidFill>
                <a:latin typeface="Calibri"/>
              </a:defRPr>
            </a:pPr>
            <a:r>
              <a:rPr b="0" lang="en-US" sz="1200" spc="49" strike="noStrike">
                <a:solidFill>
                  <a:srgbClr val="595959"/>
                </a:solidFill>
                <a:latin typeface="Calibri"/>
              </a:rPr>
              <a:t>Design Factor 8 IT Sourcing Model (Input) </a:t>
            </a:r>
          </a:p>
        </c:rich>
      </c:tx>
      <c:layout>
        <c:manualLayout>
          <c:xMode val="edge"/>
          <c:yMode val="edge"/>
          <c:x val="0.255504476167433"/>
          <c:y val="0.0123860552501566"/>
        </c:manualLayout>
      </c:layout>
      <c:overlay val="0"/>
      <c:spPr>
        <a:noFill/>
        <a:ln w="0">
          <a:noFill/>
        </a:ln>
      </c:spPr>
    </c:title>
    <c:autoTitleDeleted val="0"/>
    <c:plotArea>
      <c:pieChart>
        <c:varyColors val="1"/>
        <c:ser>
          <c:idx val="0"/>
          <c:order val="0"/>
          <c:spPr>
            <a:solidFill>
              <a:srgbClr val="4472c4"/>
            </a:solidFill>
            <a:ln w="0">
              <a:noFill/>
            </a:ln>
          </c:spPr>
          <c:explosion val="0"/>
          <c:dPt>
            <c:idx val="0"/>
            <c:spPr>
              <a:solidFill>
                <a:srgbClr val="4472c4"/>
              </a:solidFill>
              <a:ln w="0">
                <a:noFill/>
              </a:ln>
            </c:spPr>
          </c:dPt>
          <c:dPt>
            <c:idx val="1"/>
            <c:spPr>
              <a:solidFill>
                <a:srgbClr val="ed7d31"/>
              </a:solidFill>
              <a:ln w="0">
                <a:noFill/>
              </a:ln>
            </c:spPr>
          </c:dPt>
          <c:dPt>
            <c:idx val="2"/>
            <c:spPr>
              <a:solidFill>
                <a:srgbClr val="a5a5a5"/>
              </a:solidFill>
              <a:ln w="0">
                <a:noFill/>
              </a:ln>
            </c:spPr>
          </c:dPt>
          <c:dLbls>
            <c:dLbl>
              <c:idx val="0"/>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dLbl>
              <c:idx val="1"/>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dLbl>
              <c:idx val="2"/>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showLeaderLines val="1"/>
          </c:dLbls>
          <c:cat>
            <c:strRef>
              <c:f>DF8!$A$6:$A$8</c:f>
              <c:strCache>
                <c:ptCount val="3"/>
                <c:pt idx="0">
                  <c:v>Outsourcing</c:v>
                </c:pt>
                <c:pt idx="1">
                  <c:v>Cloud</c:v>
                </c:pt>
                <c:pt idx="2">
                  <c:v>Insourced</c:v>
                </c:pt>
              </c:strCache>
            </c:strRef>
          </c:cat>
          <c:val>
            <c:numRef>
              <c:f>DF8!$B$6:$B$8</c:f>
              <c:numCache>
                <c:formatCode>0%</c:formatCode>
                <c:ptCount val="3"/>
                <c:pt idx="0">
                  <c:v>0.15</c:v>
                </c:pt>
                <c:pt idx="1">
                  <c:v>0.25</c:v>
                </c:pt>
                <c:pt idx="2">
                  <c:v>0.6</c:v>
                </c:pt>
              </c:numCache>
            </c:numRef>
          </c:val>
        </c:ser>
        <c:firstSliceAng val="0"/>
      </c:pieChart>
      <c:spPr>
        <a:noFill/>
        <a:ln w="0">
          <a:noFill/>
        </a:ln>
      </c:spPr>
    </c:plotArea>
    <c:legend>
      <c:legendPos val="t"/>
      <c:overlay val="0"/>
      <c:spPr>
        <a:noFill/>
        <a:ln w="0">
          <a:noFill/>
        </a:ln>
      </c:spPr>
      <c:txPr>
        <a:bodyPr/>
        <a:lstStyle/>
        <a:p>
          <a:pPr>
            <a:defRPr b="1" sz="11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8 Sourcing Model for IT
Resulting Governance/Management Objectives Importance</a:t>
            </a:r>
          </a:p>
        </c:rich>
      </c:tx>
      <c:layout>
        <c:manualLayout>
          <c:xMode val="edge"/>
          <c:yMode val="edge"/>
          <c:x val="0.206661472536034"/>
          <c:y val="0.0456284153005465"/>
        </c:manualLayout>
      </c:layout>
      <c:overlay val="0"/>
      <c:spPr>
        <a:noFill/>
        <a:ln w="0">
          <a:noFill/>
        </a:ln>
      </c:spPr>
    </c:title>
    <c:autoTitleDeleted val="0"/>
    <c:plotArea>
      <c:layout>
        <c:manualLayout>
          <c:layoutTarget val="inner"/>
          <c:xMode val="edge"/>
          <c:yMode val="edge"/>
          <c:x val="0.0699259836384885"/>
          <c:y val="0.182422586520947"/>
          <c:w val="0.86482275029217"/>
          <c:h val="0.796357012750455"/>
        </c:manualLayout>
      </c:layout>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-5</c:v>
                </c:pt>
                <c:pt idx="3">
                  <c:v>0</c:v>
                </c:pt>
                <c:pt idx="4">
                  <c:v>0</c:v>
                </c:pt>
                <c:pt idx="5">
                  <c:v>0</c:v>
                </c:pt>
                <c:pt idx="6">
                  <c:v>0</c:v>
                </c:pt>
                <c:pt idx="7">
                  <c:v>0</c:v>
                </c:pt>
                <c:pt idx="8">
                  <c:v>0</c:v>
                </c:pt>
                <c:pt idx="9">
                  <c:v>0</c:v>
                </c:pt>
                <c:pt idx="10">
                  <c:v>0</c:v>
                </c:pt>
                <c:pt idx="11">
                  <c:v>0</c:v>
                </c:pt>
                <c:pt idx="12">
                  <c:v>0</c:v>
                </c:pt>
                <c:pt idx="13">
                  <c:v>-25</c:v>
                </c:pt>
                <c:pt idx="14">
                  <c:v>-25</c:v>
                </c:pt>
                <c:pt idx="15">
                  <c:v>0</c:v>
                </c:pt>
                <c:pt idx="16">
                  <c:v>-15</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-20</c:v>
                </c:pt>
                <c:pt idx="37">
                  <c:v>0</c:v>
                </c:pt>
                <c:pt idx="38">
                  <c:v>0</c:v>
                </c:pt>
                <c:pt idx="39">
                  <c:v>0</c:v>
                </c:pt>
              </c:numCache>
            </c:numRef>
          </c:val>
        </c:ser>
        <c:gapWidth val="30"/>
        <c:overlap val="0"/>
        <c:axId val="99883708"/>
        <c:axId val="75842145"/>
      </c:barChart>
      <c:catAx>
        <c:axId val="99883708"/>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5842145"/>
        <c:crosses val="autoZero"/>
        <c:auto val="1"/>
        <c:lblAlgn val="ctr"/>
        <c:lblOffset val="100"/>
        <c:noMultiLvlLbl val="0"/>
      </c:catAx>
      <c:valAx>
        <c:axId val="75842145"/>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99883708"/>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8 Sourcing Model for IT
Resulting Governance/ Management Objectives Importance </a:t>
            </a:r>
          </a:p>
        </c:rich>
      </c:tx>
      <c:layout>
        <c:manualLayout>
          <c:xMode val="edge"/>
          <c:yMode val="edge"/>
          <c:x val="0.177262931034483"/>
          <c:y val="0.0404490296777712"/>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-5</c:v>
                </c:pt>
                <c:pt idx="3">
                  <c:v>0</c:v>
                </c:pt>
                <c:pt idx="4">
                  <c:v>0</c:v>
                </c:pt>
                <c:pt idx="5">
                  <c:v>0</c:v>
                </c:pt>
                <c:pt idx="6">
                  <c:v>0</c:v>
                </c:pt>
                <c:pt idx="7">
                  <c:v>0</c:v>
                </c:pt>
                <c:pt idx="8">
                  <c:v>0</c:v>
                </c:pt>
                <c:pt idx="9">
                  <c:v>0</c:v>
                </c:pt>
                <c:pt idx="10">
                  <c:v>0</c:v>
                </c:pt>
                <c:pt idx="11">
                  <c:v>0</c:v>
                </c:pt>
                <c:pt idx="12">
                  <c:v>0</c:v>
                </c:pt>
                <c:pt idx="13">
                  <c:v>-25</c:v>
                </c:pt>
                <c:pt idx="14">
                  <c:v>-25</c:v>
                </c:pt>
                <c:pt idx="15">
                  <c:v>0</c:v>
                </c:pt>
                <c:pt idx="16">
                  <c:v>-15</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-20</c:v>
                </c:pt>
                <c:pt idx="37">
                  <c:v>0</c:v>
                </c:pt>
                <c:pt idx="38">
                  <c:v>0</c:v>
                </c:pt>
                <c:pt idx="39">
                  <c:v>0</c:v>
                </c:pt>
              </c:numCache>
            </c:numRef>
          </c:val>
        </c:ser>
        <c:axId val="90469098"/>
        <c:axId val="1387243"/>
      </c:radarChart>
      <c:catAx>
        <c:axId val="90469098"/>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1387243"/>
        <c:crosses val="autoZero"/>
        <c:auto val="1"/>
        <c:lblAlgn val="ctr"/>
        <c:lblOffset val="100"/>
        <c:noMultiLvlLbl val="0"/>
      </c:catAx>
      <c:valAx>
        <c:axId val="1387243"/>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90469098"/>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49" strike="noStrike">
                <a:solidFill>
                  <a:srgbClr val="595959"/>
                </a:solidFill>
                <a:latin typeface="Calibri"/>
              </a:defRPr>
            </a:pPr>
            <a:r>
              <a:rPr b="0" lang="en-US" sz="1200" spc="49" strike="noStrike">
                <a:solidFill>
                  <a:srgbClr val="595959"/>
                </a:solidFill>
                <a:latin typeface="Calibri"/>
              </a:rPr>
              <a:t>Design Factor 9 IT Implementation Methods</a:t>
            </a:r>
          </a:p>
        </c:rich>
      </c:tx>
      <c:overlay val="0"/>
      <c:spPr>
        <a:noFill/>
        <a:ln w="0">
          <a:noFill/>
        </a:ln>
      </c:spPr>
    </c:title>
    <c:autoTitleDeleted val="0"/>
    <c:plotArea>
      <c:pieChart>
        <c:varyColors val="1"/>
        <c:ser>
          <c:idx val="0"/>
          <c:order val="0"/>
          <c:spPr>
            <a:solidFill>
              <a:srgbClr val="4472c4"/>
            </a:solidFill>
            <a:ln w="0">
              <a:noFill/>
            </a:ln>
          </c:spPr>
          <c:explosion val="0"/>
          <c:dPt>
            <c:idx val="0"/>
            <c:spPr>
              <a:solidFill>
                <a:srgbClr val="4472c4"/>
              </a:solidFill>
              <a:ln w="0">
                <a:noFill/>
              </a:ln>
            </c:spPr>
          </c:dPt>
          <c:dPt>
            <c:idx val="1"/>
            <c:spPr>
              <a:solidFill>
                <a:srgbClr val="ed7d31"/>
              </a:solidFill>
              <a:ln w="0">
                <a:noFill/>
              </a:ln>
            </c:spPr>
          </c:dPt>
          <c:dPt>
            <c:idx val="2"/>
            <c:spPr>
              <a:solidFill>
                <a:srgbClr val="a5a5a5"/>
              </a:solidFill>
              <a:ln w="0">
                <a:noFill/>
              </a:ln>
            </c:spPr>
          </c:dPt>
          <c:dLbls>
            <c:dLbl>
              <c:idx val="0"/>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dLbl>
              <c:idx val="1"/>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dLbl>
              <c:idx val="2"/>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showLeaderLines val="1"/>
          </c:dLbls>
          <c:cat>
            <c:strRef>
              <c:f>DF9!$A$6:$A$8</c:f>
              <c:strCache>
                <c:ptCount val="3"/>
                <c:pt idx="0">
                  <c:v>Agile</c:v>
                </c:pt>
                <c:pt idx="1">
                  <c:v>DevOps</c:v>
                </c:pt>
                <c:pt idx="2">
                  <c:v>Traditional</c:v>
                </c:pt>
              </c:strCache>
            </c:strRef>
          </c:cat>
          <c:val>
            <c:numRef>
              <c:f>DF9!$B$6:$B$8</c:f>
              <c:numCache>
                <c:formatCode>0%</c:formatCode>
                <c:ptCount val="3"/>
                <c:pt idx="0">
                  <c:v>0.2</c:v>
                </c:pt>
                <c:pt idx="1">
                  <c:v>0.05</c:v>
                </c:pt>
                <c:pt idx="2">
                  <c:v>0.75</c:v>
                </c:pt>
              </c:numCache>
            </c:numRef>
          </c:val>
        </c:ser>
        <c:firstSliceAng val="0"/>
      </c:pieChart>
      <c:spPr>
        <a:noFill/>
        <a:ln w="0">
          <a:noFill/>
        </a:ln>
      </c:spPr>
    </c:plotArea>
    <c:legend>
      <c:legendPos val="t"/>
      <c:overlay val="0"/>
      <c:spPr>
        <a:noFill/>
        <a:ln w="0">
          <a:noFill/>
        </a:ln>
      </c:spPr>
      <c:txPr>
        <a:bodyPr/>
        <a:lstStyle/>
        <a:p>
          <a:pPr>
            <a:defRPr b="1" sz="11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9  IT Implementation Methods
Resulting Governance/Management Objectives Importance</a:t>
            </a:r>
          </a:p>
        </c:rich>
      </c:tx>
      <c:layout>
        <c:manualLayout>
          <c:xMode val="edge"/>
          <c:yMode val="edge"/>
          <c:x val="0.11655827913957"/>
          <c:y val="0.0545834658910149"/>
        </c:manualLayout>
      </c:layout>
      <c:overlay val="0"/>
      <c:spPr>
        <a:noFill/>
        <a:ln w="0">
          <a:noFill/>
        </a:ln>
      </c:spPr>
    </c:title>
    <c:autoTitleDeleted val="0"/>
    <c:plotArea>
      <c:layout>
        <c:manualLayout>
          <c:layoutTarget val="inner"/>
          <c:xMode val="edge"/>
          <c:yMode val="edge"/>
          <c:x val="0.0718359179589795"/>
          <c:y val="0.211562059719129"/>
          <c:w val="0.861130565282641"/>
          <c:h val="0.766940871699314"/>
        </c:manualLayout>
      </c:layout>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-5</c:v>
                </c:pt>
                <c:pt idx="8">
                  <c:v>0</c:v>
                </c:pt>
                <c:pt idx="9">
                  <c:v>0</c:v>
                </c:pt>
                <c:pt idx="10">
                  <c:v>0</c:v>
                </c:pt>
                <c:pt idx="11">
                  <c:v>0</c:v>
                </c:pt>
                <c:pt idx="12">
                  <c:v>0</c:v>
                </c:pt>
                <c:pt idx="13">
                  <c:v>0</c:v>
                </c:pt>
                <c:pt idx="14">
                  <c:v>0</c:v>
                </c:pt>
                <c:pt idx="15">
                  <c:v>0</c:v>
                </c:pt>
                <c:pt idx="16">
                  <c:v>0</c:v>
                </c:pt>
                <c:pt idx="17">
                  <c:v>0</c:v>
                </c:pt>
                <c:pt idx="18">
                  <c:v>0</c:v>
                </c:pt>
                <c:pt idx="19">
                  <c:v>0</c:v>
                </c:pt>
                <c:pt idx="20">
                  <c:v>5</c:v>
                </c:pt>
                <c:pt idx="21">
                  <c:v>5</c:v>
                </c:pt>
                <c:pt idx="22">
                  <c:v>0</c:v>
                </c:pt>
                <c:pt idx="23">
                  <c:v>5</c:v>
                </c:pt>
                <c:pt idx="24">
                  <c:v>5</c:v>
                </c:pt>
                <c:pt idx="25">
                  <c:v>0</c:v>
                </c:pt>
                <c:pt idx="26">
                  <c:v>0</c:v>
                </c:pt>
                <c:pt idx="27">
                  <c:v>0</c:v>
                </c:pt>
                <c:pt idx="28">
                  <c:v>0</c:v>
                </c:pt>
                <c:pt idx="29">
                  <c:v>5</c:v>
                </c:pt>
                <c:pt idx="30">
                  <c:v>-5</c:v>
                </c:pt>
                <c:pt idx="31">
                  <c:v>0</c:v>
                </c:pt>
                <c:pt idx="32">
                  <c:v>0</c:v>
                </c:pt>
                <c:pt idx="33">
                  <c:v>0</c:v>
                </c:pt>
                <c:pt idx="34">
                  <c:v>0</c:v>
                </c:pt>
                <c:pt idx="35">
                  <c:v>0</c:v>
                </c:pt>
                <c:pt idx="36">
                  <c:v>0</c:v>
                </c:pt>
                <c:pt idx="37">
                  <c:v>0</c:v>
                </c:pt>
                <c:pt idx="38">
                  <c:v>0</c:v>
                </c:pt>
                <c:pt idx="39">
                  <c:v>0</c:v>
                </c:pt>
              </c:numCache>
            </c:numRef>
          </c:val>
        </c:ser>
        <c:gapWidth val="35"/>
        <c:overlap val="0"/>
        <c:axId val="43169779"/>
        <c:axId val="57075042"/>
      </c:barChart>
      <c:catAx>
        <c:axId val="43169779"/>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7075042"/>
        <c:crosses val="autoZero"/>
        <c:auto val="1"/>
        <c:lblAlgn val="ctr"/>
        <c:lblOffset val="100"/>
        <c:noMultiLvlLbl val="0"/>
      </c:catAx>
      <c:valAx>
        <c:axId val="57075042"/>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43169779"/>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9  IT Implementation Methods
Resulting Governance/Management Objectives Importance</a:t>
            </a:r>
          </a:p>
        </c:rich>
      </c:tx>
      <c:layout>
        <c:manualLayout>
          <c:xMode val="edge"/>
          <c:yMode val="edge"/>
          <c:x val="0.193304654754026"/>
          <c:y val="0.0312088311452324"/>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-5</c:v>
                </c:pt>
                <c:pt idx="8">
                  <c:v>0</c:v>
                </c:pt>
                <c:pt idx="9">
                  <c:v>0</c:v>
                </c:pt>
                <c:pt idx="10">
                  <c:v>0</c:v>
                </c:pt>
                <c:pt idx="11">
                  <c:v>0</c:v>
                </c:pt>
                <c:pt idx="12">
                  <c:v>0</c:v>
                </c:pt>
                <c:pt idx="13">
                  <c:v>0</c:v>
                </c:pt>
                <c:pt idx="14">
                  <c:v>0</c:v>
                </c:pt>
                <c:pt idx="15">
                  <c:v>0</c:v>
                </c:pt>
                <c:pt idx="16">
                  <c:v>0</c:v>
                </c:pt>
                <c:pt idx="17">
                  <c:v>0</c:v>
                </c:pt>
                <c:pt idx="18">
                  <c:v>0</c:v>
                </c:pt>
                <c:pt idx="19">
                  <c:v>0</c:v>
                </c:pt>
                <c:pt idx="20">
                  <c:v>5</c:v>
                </c:pt>
                <c:pt idx="21">
                  <c:v>5</c:v>
                </c:pt>
                <c:pt idx="22">
                  <c:v>0</c:v>
                </c:pt>
                <c:pt idx="23">
                  <c:v>5</c:v>
                </c:pt>
                <c:pt idx="24">
                  <c:v>5</c:v>
                </c:pt>
                <c:pt idx="25">
                  <c:v>0</c:v>
                </c:pt>
                <c:pt idx="26">
                  <c:v>0</c:v>
                </c:pt>
                <c:pt idx="27">
                  <c:v>0</c:v>
                </c:pt>
                <c:pt idx="28">
                  <c:v>0</c:v>
                </c:pt>
                <c:pt idx="29">
                  <c:v>5</c:v>
                </c:pt>
                <c:pt idx="30">
                  <c:v>-5</c:v>
                </c:pt>
                <c:pt idx="31">
                  <c:v>0</c:v>
                </c:pt>
                <c:pt idx="32">
                  <c:v>0</c:v>
                </c:pt>
                <c:pt idx="33">
                  <c:v>0</c:v>
                </c:pt>
                <c:pt idx="34">
                  <c:v>0</c:v>
                </c:pt>
                <c:pt idx="35">
                  <c:v>0</c:v>
                </c:pt>
                <c:pt idx="36">
                  <c:v>0</c:v>
                </c:pt>
                <c:pt idx="37">
                  <c:v>0</c:v>
                </c:pt>
                <c:pt idx="38">
                  <c:v>0</c:v>
                </c:pt>
                <c:pt idx="39">
                  <c:v>0</c:v>
                </c:pt>
              </c:numCache>
            </c:numRef>
          </c:val>
        </c:ser>
        <c:axId val="7652689"/>
        <c:axId val="37025742"/>
      </c:radarChart>
      <c:catAx>
        <c:axId val="7652689"/>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37025742"/>
        <c:crosses val="autoZero"/>
        <c:auto val="1"/>
        <c:lblAlgn val="ctr"/>
        <c:lblOffset val="100"/>
        <c:noMultiLvlLbl val="0"/>
      </c:catAx>
      <c:valAx>
        <c:axId val="37025742"/>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7652689"/>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49" strike="noStrike">
                <a:solidFill>
                  <a:srgbClr val="595959"/>
                </a:solidFill>
                <a:latin typeface="Calibri"/>
              </a:defRPr>
            </a:pPr>
            <a:r>
              <a:rPr b="0" lang="en-US" sz="1200" spc="49" strike="noStrike">
                <a:solidFill>
                  <a:srgbClr val="595959"/>
                </a:solidFill>
                <a:latin typeface="Calibri"/>
              </a:rPr>
              <a:t>Design Factor 10 Technology Adoption Strategy</a:t>
            </a:r>
          </a:p>
        </c:rich>
      </c:tx>
      <c:layout>
        <c:manualLayout>
          <c:xMode val="edge"/>
          <c:yMode val="edge"/>
          <c:x val="0.170932112068966"/>
          <c:y val="0.0335910178538561"/>
        </c:manualLayout>
      </c:layout>
      <c:overlay val="0"/>
      <c:spPr>
        <a:noFill/>
        <a:ln w="0">
          <a:noFill/>
        </a:ln>
      </c:spPr>
    </c:title>
    <c:autoTitleDeleted val="0"/>
    <c:plotArea>
      <c:pieChart>
        <c:varyColors val="1"/>
        <c:ser>
          <c:idx val="0"/>
          <c:order val="0"/>
          <c:spPr>
            <a:solidFill>
              <a:srgbClr val="4472c4"/>
            </a:solidFill>
            <a:ln w="0">
              <a:noFill/>
            </a:ln>
          </c:spPr>
          <c:explosion val="0"/>
          <c:dPt>
            <c:idx val="0"/>
            <c:spPr>
              <a:solidFill>
                <a:srgbClr val="4472c4"/>
              </a:solidFill>
              <a:ln w="0">
                <a:noFill/>
              </a:ln>
            </c:spPr>
          </c:dPt>
          <c:dPt>
            <c:idx val="1"/>
            <c:spPr>
              <a:solidFill>
                <a:srgbClr val="ed7d31"/>
              </a:solidFill>
              <a:ln w="0">
                <a:noFill/>
              </a:ln>
            </c:spPr>
          </c:dPt>
          <c:dPt>
            <c:idx val="2"/>
            <c:spPr>
              <a:solidFill>
                <a:srgbClr val="a5a5a5"/>
              </a:solidFill>
              <a:ln w="0">
                <a:noFill/>
              </a:ln>
            </c:spPr>
          </c:dPt>
          <c:dLbls>
            <c:dLbl>
              <c:idx val="0"/>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dLbl>
              <c:idx val="1"/>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dLbl>
              <c:idx val="2"/>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dLbl>
            <c:txPr>
              <a:bodyPr wrap="square"/>
              <a:lstStyle/>
              <a:p>
                <a:pPr>
                  <a:defRPr b="1" sz="1200" spc="-1" strike="noStrike">
                    <a:solidFill>
                      <a:srgbClr val="ffffff"/>
                    </a:solidFill>
                    <a:latin typeface="Calibri"/>
                  </a:defRPr>
                </a:pPr>
              </a:p>
            </c:txPr>
            <c:dLblPos val="inEnd"/>
            <c:showLegendKey val="0"/>
            <c:showVal val="0"/>
            <c:showCatName val="0"/>
            <c:showSerName val="0"/>
            <c:showPercent val="1"/>
            <c:separator>
</c:separator>
            <c:showLeaderLines val="1"/>
          </c:dLbls>
          <c:cat>
            <c:strRef>
              <c:f>DF10!$A$6:$A$8</c:f>
              <c:strCache>
                <c:ptCount val="3"/>
                <c:pt idx="0">
                  <c:v>First mover</c:v>
                </c:pt>
                <c:pt idx="1">
                  <c:v>Follower</c:v>
                </c:pt>
                <c:pt idx="2">
                  <c:v>Slow adopter</c:v>
                </c:pt>
              </c:strCache>
            </c:strRef>
          </c:cat>
          <c:val>
            <c:numRef>
              <c:f>DF10!$B$6:$B$8</c:f>
              <c:numCache>
                <c:formatCode>0%</c:formatCode>
                <c:ptCount val="3"/>
                <c:pt idx="0">
                  <c:v>0.1</c:v>
                </c:pt>
                <c:pt idx="1">
                  <c:v>0.75</c:v>
                </c:pt>
                <c:pt idx="2">
                  <c:v>0.15</c:v>
                </c:pt>
              </c:numCache>
            </c:numRef>
          </c:val>
        </c:ser>
        <c:firstSliceAng val="0"/>
      </c:pieChart>
      <c:spPr>
        <a:noFill/>
        <a:ln w="0">
          <a:noFill/>
        </a:ln>
      </c:spPr>
    </c:plotArea>
    <c:legend>
      <c:legendPos val="t"/>
      <c:overlay val="0"/>
      <c:spPr>
        <a:noFill/>
        <a:ln w="0">
          <a:noFill/>
        </a:ln>
      </c:spPr>
      <c:txPr>
        <a:bodyPr/>
        <a:lstStyle/>
        <a:p>
          <a:pPr>
            <a:defRPr b="1" sz="11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10 Technology Adoption Strategy
Resulting Governance/Management Objectives Importance</a:t>
            </a:r>
          </a:p>
        </c:rich>
      </c:tx>
      <c:layout>
        <c:manualLayout>
          <c:xMode val="edge"/>
          <c:yMode val="edge"/>
          <c:x val="0.154682601880878"/>
          <c:y val="0.0404095812762845"/>
        </c:manualLayout>
      </c:layout>
      <c:overlay val="0"/>
      <c:spPr>
        <a:noFill/>
        <a:ln w="0">
          <a:noFill/>
        </a:ln>
      </c:spPr>
    </c:title>
    <c:autoTitleDeleted val="0"/>
    <c:plotArea>
      <c:layout>
        <c:manualLayout>
          <c:layoutTarget val="inner"/>
          <c:xMode val="edge"/>
          <c:yMode val="edge"/>
          <c:x val="0.0703369905956113"/>
          <c:y val="0.195191076979338"/>
          <c:w val="0.864028213166144"/>
          <c:h val="0.782684220149936"/>
        </c:manualLayout>
      </c:layout>
      <c:barChart>
        <c:barDir val="bar"/>
        <c:grouping val="clustered"/>
        <c:varyColors val="0"/>
        <c:ser>
          <c:idx val="0"/>
          <c:order val="0"/>
          <c:spPr>
            <a:solidFill>
              <a:srgbClr val="f2d2ee"/>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0</c:v>
                </c:pt>
                <c:pt idx="3">
                  <c:v>0</c:v>
                </c:pt>
                <c:pt idx="4">
                  <c:v>0</c:v>
                </c:pt>
                <c:pt idx="5">
                  <c:v>-5</c:v>
                </c:pt>
                <c:pt idx="6">
                  <c:v>0</c:v>
                </c:pt>
                <c:pt idx="7">
                  <c:v>-5</c:v>
                </c:pt>
                <c:pt idx="8">
                  <c:v>0</c:v>
                </c:pt>
                <c:pt idx="9">
                  <c:v>-5</c:v>
                </c:pt>
                <c:pt idx="10">
                  <c:v>0</c:v>
                </c:pt>
                <c:pt idx="11">
                  <c:v>-5</c:v>
                </c:pt>
                <c:pt idx="12">
                  <c:v>-5</c:v>
                </c:pt>
                <c:pt idx="13">
                  <c:v>0</c:v>
                </c:pt>
                <c:pt idx="14">
                  <c:v>-5</c:v>
                </c:pt>
                <c:pt idx="15">
                  <c:v>0</c:v>
                </c:pt>
                <c:pt idx="16">
                  <c:v>0</c:v>
                </c:pt>
                <c:pt idx="17">
                  <c:v>0</c:v>
                </c:pt>
                <c:pt idx="18">
                  <c:v>0</c:v>
                </c:pt>
                <c:pt idx="19">
                  <c:v>0</c:v>
                </c:pt>
                <c:pt idx="20">
                  <c:v>0</c:v>
                </c:pt>
                <c:pt idx="21">
                  <c:v>-5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30"/>
        <c:overlap val="0"/>
        <c:axId val="4554580"/>
        <c:axId val="34776944"/>
      </c:barChart>
      <c:catAx>
        <c:axId val="4554580"/>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4776944"/>
        <c:crosses val="autoZero"/>
        <c:auto val="1"/>
        <c:lblAlgn val="ctr"/>
        <c:lblOffset val="100"/>
        <c:noMultiLvlLbl val="0"/>
      </c:catAx>
      <c:valAx>
        <c:axId val="34776944"/>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4554580"/>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 strike="noStrike">
                <a:solidFill>
                  <a:srgbClr val="595959"/>
                </a:solidFill>
                <a:latin typeface="Calibri"/>
              </a:defRPr>
            </a:pPr>
            <a:r>
              <a:rPr b="0" lang="en-US" sz="1200" spc="-1" strike="noStrike">
                <a:solidFill>
                  <a:srgbClr val="595959"/>
                </a:solidFill>
                <a:latin typeface="Calibri"/>
              </a:rPr>
              <a:t>Design Factor 10 Technology Adoption Strategy
Resulting Governance/Management Objectives Importance</a:t>
            </a:r>
          </a:p>
        </c:rich>
      </c:tx>
      <c:layout>
        <c:manualLayout>
          <c:xMode val="edge"/>
          <c:yMode val="edge"/>
          <c:x val="0.175430210325048"/>
          <c:y val="0.0508776741634668"/>
        </c:manualLayout>
      </c:layout>
      <c:overlay val="0"/>
      <c:spPr>
        <a:noFill/>
        <a:ln w="0">
          <a:noFill/>
        </a:ln>
      </c:spPr>
    </c:title>
    <c:autoTitleDeleted val="0"/>
    <c:plotArea>
      <c:radarChart>
        <c:radarStyle val="filled"/>
        <c:varyColors val="0"/>
        <c:ser>
          <c:idx val="0"/>
          <c:order val="0"/>
          <c:spPr>
            <a:solidFill>
              <a:srgbClr val="f2d2ee"/>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0</c:v>
                </c:pt>
                <c:pt idx="3">
                  <c:v>0</c:v>
                </c:pt>
                <c:pt idx="4">
                  <c:v>0</c:v>
                </c:pt>
                <c:pt idx="5">
                  <c:v>-5</c:v>
                </c:pt>
                <c:pt idx="6">
                  <c:v>0</c:v>
                </c:pt>
                <c:pt idx="7">
                  <c:v>-5</c:v>
                </c:pt>
                <c:pt idx="8">
                  <c:v>0</c:v>
                </c:pt>
                <c:pt idx="9">
                  <c:v>-5</c:v>
                </c:pt>
                <c:pt idx="10">
                  <c:v>0</c:v>
                </c:pt>
                <c:pt idx="11">
                  <c:v>-5</c:v>
                </c:pt>
                <c:pt idx="12">
                  <c:v>-5</c:v>
                </c:pt>
                <c:pt idx="13">
                  <c:v>0</c:v>
                </c:pt>
                <c:pt idx="14">
                  <c:v>-5</c:v>
                </c:pt>
                <c:pt idx="15">
                  <c:v>0</c:v>
                </c:pt>
                <c:pt idx="16">
                  <c:v>0</c:v>
                </c:pt>
                <c:pt idx="17">
                  <c:v>0</c:v>
                </c:pt>
                <c:pt idx="18">
                  <c:v>0</c:v>
                </c:pt>
                <c:pt idx="19">
                  <c:v>0</c:v>
                </c:pt>
                <c:pt idx="20">
                  <c:v>0</c:v>
                </c:pt>
                <c:pt idx="21">
                  <c:v>-5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axId val="31058502"/>
        <c:axId val="12116382"/>
      </c:radarChart>
      <c:catAx>
        <c:axId val="31058502"/>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12116382"/>
        <c:crosses val="autoZero"/>
        <c:auto val="1"/>
        <c:lblAlgn val="ctr"/>
        <c:lblOffset val="100"/>
        <c:noMultiLvlLbl val="0"/>
      </c:catAx>
      <c:valAx>
        <c:axId val="12116382"/>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31058502"/>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200" spc="18" strike="noStrike">
                <a:solidFill>
                  <a:srgbClr val="000000"/>
                </a:solidFill>
                <a:latin typeface="Calibri"/>
              </a:defRPr>
            </a:pPr>
            <a:r>
              <a:rPr b="0" lang="en-US" sz="1200" spc="18" strike="noStrike">
                <a:solidFill>
                  <a:srgbClr val="000000"/>
                </a:solidFill>
                <a:latin typeface="Calibri"/>
              </a:rPr>
              <a:t>Governance and Management Objectives Importance (All Design Factors)</a:t>
            </a:r>
          </a:p>
        </c:rich>
      </c:tx>
      <c:layout>
        <c:manualLayout>
          <c:xMode val="edge"/>
          <c:yMode val="edge"/>
          <c:x val="0.1448125"/>
          <c:y val="0.00833333333333333"/>
        </c:manualLayout>
      </c:layout>
      <c:overlay val="0"/>
      <c:spPr>
        <a:noFill/>
        <a:ln w="0">
          <a:noFill/>
        </a:ln>
      </c:spPr>
    </c:title>
    <c:autoTitleDeleted val="0"/>
    <c:plotArea>
      <c:barChart>
        <c:barDir val="bar"/>
        <c:grouping val="clustered"/>
        <c:varyColors val="0"/>
        <c:ser>
          <c:idx val="0"/>
          <c:order val="0"/>
          <c:spPr>
            <a:solidFill>
              <a:srgbClr val="f4b183"/>
            </a:solidFill>
            <a:ln w="9360">
              <a:solidFill>
                <a:srgbClr val="426fbf"/>
              </a:solidFill>
              <a:round/>
            </a:ln>
          </c:spPr>
          <c:invertIfNegative val="0"/>
          <c:dLbls>
            <c:numFmt formatCode="#,##0_ ;[RED]\-#,##0\ " sourceLinked="1"/>
            <c:txPr>
              <a:bodyPr wrap="square"/>
              <a:lstStyle/>
              <a:p>
                <a:pPr>
                  <a:defRPr b="1" sz="900" spc="-1" strike="noStrike">
                    <a:solidFill>
                      <a:srgbClr val="ffffff"/>
                    </a:solidFill>
                    <a:latin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Canvas!$Q$6:$Q$45</c:f>
              <c:numCache>
                <c:formatCode>General</c:formatCode>
                <c:ptCount val="40"/>
                <c:pt idx="0">
                  <c:v>55</c:v>
                </c:pt>
                <c:pt idx="1">
                  <c:v>10</c:v>
                </c:pt>
                <c:pt idx="2">
                  <c:v>90</c:v>
                </c:pt>
                <c:pt idx="3">
                  <c:v>-5</c:v>
                </c:pt>
                <c:pt idx="4">
                  <c:v>30</c:v>
                </c:pt>
                <c:pt idx="5">
                  <c:v>50</c:v>
                </c:pt>
                <c:pt idx="6">
                  <c:v>-5</c:v>
                </c:pt>
                <c:pt idx="7">
                  <c:v>25</c:v>
                </c:pt>
                <c:pt idx="8">
                  <c:v>15</c:v>
                </c:pt>
                <c:pt idx="9">
                  <c:v>-5</c:v>
                </c:pt>
                <c:pt idx="10">
                  <c:v>-15</c:v>
                </c:pt>
                <c:pt idx="11">
                  <c:v>10</c:v>
                </c:pt>
                <c:pt idx="12">
                  <c:v>10</c:v>
                </c:pt>
                <c:pt idx="13">
                  <c:v>20</c:v>
                </c:pt>
                <c:pt idx="14">
                  <c:v>35</c:v>
                </c:pt>
                <c:pt idx="15">
                  <c:v>40</c:v>
                </c:pt>
                <c:pt idx="16">
                  <c:v>100</c:v>
                </c:pt>
                <c:pt idx="17">
                  <c:v>90</c:v>
                </c:pt>
                <c:pt idx="18">
                  <c:v>50</c:v>
                </c:pt>
                <c:pt idx="19">
                  <c:v>0</c:v>
                </c:pt>
                <c:pt idx="20">
                  <c:v>5</c:v>
                </c:pt>
                <c:pt idx="21">
                  <c:v>5</c:v>
                </c:pt>
                <c:pt idx="22">
                  <c:v>35</c:v>
                </c:pt>
                <c:pt idx="23">
                  <c:v>0</c:v>
                </c:pt>
                <c:pt idx="24">
                  <c:v>50</c:v>
                </c:pt>
                <c:pt idx="25">
                  <c:v>15</c:v>
                </c:pt>
                <c:pt idx="26">
                  <c:v>15</c:v>
                </c:pt>
                <c:pt idx="27">
                  <c:v>5</c:v>
                </c:pt>
                <c:pt idx="28">
                  <c:v>50</c:v>
                </c:pt>
                <c:pt idx="29">
                  <c:v>5</c:v>
                </c:pt>
                <c:pt idx="30">
                  <c:v>15</c:v>
                </c:pt>
                <c:pt idx="31">
                  <c:v>60</c:v>
                </c:pt>
                <c:pt idx="32">
                  <c:v>40</c:v>
                </c:pt>
                <c:pt idx="33">
                  <c:v>80</c:v>
                </c:pt>
                <c:pt idx="34">
                  <c:v>90</c:v>
                </c:pt>
                <c:pt idx="35">
                  <c:v>50</c:v>
                </c:pt>
                <c:pt idx="36">
                  <c:v>25</c:v>
                </c:pt>
                <c:pt idx="37">
                  <c:v>25</c:v>
                </c:pt>
                <c:pt idx="38">
                  <c:v>80</c:v>
                </c:pt>
                <c:pt idx="39">
                  <c:v>60</c:v>
                </c:pt>
              </c:numCache>
            </c:numRef>
          </c:val>
        </c:ser>
        <c:gapWidth val="35"/>
        <c:overlap val="0"/>
        <c:axId val="91065182"/>
        <c:axId val="6582297"/>
      </c:barChart>
      <c:catAx>
        <c:axId val="91065182"/>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808080"/>
                </a:solidFill>
                <a:latin typeface="Calibri"/>
              </a:defRPr>
            </a:pPr>
          </a:p>
        </c:txPr>
        <c:crossAx val="6582297"/>
        <c:crosses val="autoZero"/>
        <c:auto val="1"/>
        <c:lblAlgn val="ctr"/>
        <c:lblOffset val="100"/>
        <c:noMultiLvlLbl val="0"/>
      </c:catAx>
      <c:valAx>
        <c:axId val="6582297"/>
        <c:scaling>
          <c:orientation val="minMax"/>
          <c:max val="100"/>
          <c:min val="-100"/>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808080"/>
                </a:solidFill>
                <a:latin typeface="Calibri"/>
              </a:defRPr>
            </a:pPr>
          </a:p>
        </c:txPr>
        <c:crossAx val="9106518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1 Enterprise Strategy
Resulting Governance/Management
Objectives Importance</a:t>
            </a:r>
          </a:p>
        </c:rich>
      </c:tx>
      <c:overlay val="0"/>
      <c:spPr>
        <a:noFill/>
        <a:ln w="0">
          <a:noFill/>
        </a:ln>
      </c:spPr>
    </c:title>
    <c:autoTitleDeleted val="0"/>
    <c:plotArea>
      <c:radarChart>
        <c:radarStyle val="filled"/>
        <c:varyColors val="0"/>
        <c:ser>
          <c:idx val="0"/>
          <c:order val="0"/>
          <c:spPr>
            <a:solidFill>
              <a:srgbClr val="7030a0"/>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5</c:v>
                </c:pt>
                <c:pt idx="1">
                  <c:v>15</c:v>
                </c:pt>
                <c:pt idx="2">
                  <c:v>15</c:v>
                </c:pt>
                <c:pt idx="3">
                  <c:v>-20</c:v>
                </c:pt>
                <c:pt idx="4">
                  <c:v>10</c:v>
                </c:pt>
                <c:pt idx="5">
                  <c:v>0</c:v>
                </c:pt>
                <c:pt idx="6">
                  <c:v>-10</c:v>
                </c:pt>
                <c:pt idx="7">
                  <c:v>-20</c:v>
                </c:pt>
                <c:pt idx="8">
                  <c:v>15</c:v>
                </c:pt>
                <c:pt idx="9">
                  <c:v>-10</c:v>
                </c:pt>
                <c:pt idx="10">
                  <c:v>-20</c:v>
                </c:pt>
                <c:pt idx="11">
                  <c:v>-15</c:v>
                </c:pt>
                <c:pt idx="12">
                  <c:v>25</c:v>
                </c:pt>
                <c:pt idx="13">
                  <c:v>25</c:v>
                </c:pt>
                <c:pt idx="14">
                  <c:v>-5</c:v>
                </c:pt>
                <c:pt idx="15">
                  <c:v>30</c:v>
                </c:pt>
                <c:pt idx="16">
                  <c:v>20</c:v>
                </c:pt>
                <c:pt idx="17">
                  <c:v>20</c:v>
                </c:pt>
                <c:pt idx="18">
                  <c:v>0</c:v>
                </c:pt>
                <c:pt idx="19">
                  <c:v>-15</c:v>
                </c:pt>
                <c:pt idx="20">
                  <c:v>-5</c:v>
                </c:pt>
                <c:pt idx="21">
                  <c:v>-5</c:v>
                </c:pt>
                <c:pt idx="22">
                  <c:v>20</c:v>
                </c:pt>
                <c:pt idx="23">
                  <c:v>-15</c:v>
                </c:pt>
                <c:pt idx="24">
                  <c:v>0</c:v>
                </c:pt>
                <c:pt idx="25">
                  <c:v>5</c:v>
                </c:pt>
                <c:pt idx="26">
                  <c:v>15</c:v>
                </c:pt>
                <c:pt idx="27">
                  <c:v>0</c:v>
                </c:pt>
                <c:pt idx="28">
                  <c:v>0</c:v>
                </c:pt>
                <c:pt idx="29">
                  <c:v>-15</c:v>
                </c:pt>
                <c:pt idx="30">
                  <c:v>5</c:v>
                </c:pt>
                <c:pt idx="31">
                  <c:v>30</c:v>
                </c:pt>
                <c:pt idx="32">
                  <c:v>20</c:v>
                </c:pt>
                <c:pt idx="33">
                  <c:v>30</c:v>
                </c:pt>
                <c:pt idx="34">
                  <c:v>20</c:v>
                </c:pt>
                <c:pt idx="35">
                  <c:v>5</c:v>
                </c:pt>
                <c:pt idx="36">
                  <c:v>0</c:v>
                </c:pt>
                <c:pt idx="37">
                  <c:v>0</c:v>
                </c:pt>
                <c:pt idx="38">
                  <c:v>0</c:v>
                </c:pt>
                <c:pt idx="39">
                  <c:v>0</c:v>
                </c:pt>
              </c:numCache>
            </c:numRef>
          </c:val>
        </c:ser>
        <c:axId val="83198204"/>
        <c:axId val="73348526"/>
      </c:radarChart>
      <c:catAx>
        <c:axId val="83198204"/>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73348526"/>
        <c:crosses val="autoZero"/>
        <c:auto val="1"/>
        <c:lblAlgn val="ctr"/>
        <c:lblOffset val="100"/>
        <c:noMultiLvlLbl val="0"/>
      </c:catAx>
      <c:valAx>
        <c:axId val="73348526"/>
        <c:scaling>
          <c:orientation val="minMax"/>
          <c:max val="100"/>
          <c:min val="-100"/>
        </c:scaling>
        <c:delete val="0"/>
        <c:axPos val="l"/>
        <c:majorGridlines>
          <c:spPr>
            <a:ln w="9360">
              <a:solidFill>
                <a:srgbClr val="d9d9d9"/>
              </a:solidFill>
              <a:round/>
            </a:ln>
          </c:spPr>
        </c:majorGridlines>
        <c:numFmt formatCode="###0;[RED]\-###0"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83198204"/>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2 Enterprise Goals
Resulting Governance/ Management
Objectives Importance</a:t>
            </a:r>
          </a:p>
        </c:rich>
      </c:tx>
      <c:overlay val="0"/>
      <c:spPr>
        <a:noFill/>
        <a:ln w="0">
          <a:noFill/>
        </a:ln>
      </c:spPr>
    </c:title>
    <c:autoTitleDeleted val="0"/>
    <c:plotArea>
      <c:radarChart>
        <c:radarStyle val="filled"/>
        <c:varyColors val="0"/>
        <c:ser>
          <c:idx val="0"/>
          <c:order val="0"/>
          <c:spPr>
            <a:solidFill>
              <a:srgbClr val="7030a0"/>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0</c:v>
                </c:pt>
                <c:pt idx="2">
                  <c:v>20</c:v>
                </c:pt>
                <c:pt idx="3">
                  <c:v>0</c:v>
                </c:pt>
                <c:pt idx="4">
                  <c:v>-10</c:v>
                </c:pt>
                <c:pt idx="5">
                  <c:v>5</c:v>
                </c:pt>
                <c:pt idx="6">
                  <c:v>-5</c:v>
                </c:pt>
                <c:pt idx="7">
                  <c:v>-5</c:v>
                </c:pt>
                <c:pt idx="8">
                  <c:v>-5</c:v>
                </c:pt>
                <c:pt idx="9">
                  <c:v>0</c:v>
                </c:pt>
                <c:pt idx="10">
                  <c:v>-10</c:v>
                </c:pt>
                <c:pt idx="11">
                  <c:v>-5</c:v>
                </c:pt>
                <c:pt idx="12">
                  <c:v>-5</c:v>
                </c:pt>
                <c:pt idx="13">
                  <c:v>0</c:v>
                </c:pt>
                <c:pt idx="14">
                  <c:v>0</c:v>
                </c:pt>
                <c:pt idx="15">
                  <c:v>-5</c:v>
                </c:pt>
                <c:pt idx="16">
                  <c:v>35</c:v>
                </c:pt>
                <c:pt idx="17">
                  <c:v>25</c:v>
                </c:pt>
                <c:pt idx="18">
                  <c:v>-5</c:v>
                </c:pt>
                <c:pt idx="19">
                  <c:v>-5</c:v>
                </c:pt>
                <c:pt idx="20">
                  <c:v>0</c:v>
                </c:pt>
                <c:pt idx="21">
                  <c:v>0</c:v>
                </c:pt>
                <c:pt idx="22">
                  <c:v>5</c:v>
                </c:pt>
                <c:pt idx="23">
                  <c:v>-10</c:v>
                </c:pt>
                <c:pt idx="24">
                  <c:v>5</c:v>
                </c:pt>
                <c:pt idx="25">
                  <c:v>5</c:v>
                </c:pt>
                <c:pt idx="26">
                  <c:v>-5</c:v>
                </c:pt>
                <c:pt idx="27">
                  <c:v>-20</c:v>
                </c:pt>
                <c:pt idx="28">
                  <c:v>5</c:v>
                </c:pt>
                <c:pt idx="29">
                  <c:v>0</c:v>
                </c:pt>
                <c:pt idx="30">
                  <c:v>0</c:v>
                </c:pt>
                <c:pt idx="31">
                  <c:v>15</c:v>
                </c:pt>
                <c:pt idx="32">
                  <c:v>0</c:v>
                </c:pt>
                <c:pt idx="33">
                  <c:v>15</c:v>
                </c:pt>
                <c:pt idx="34">
                  <c:v>15</c:v>
                </c:pt>
                <c:pt idx="35">
                  <c:v>5</c:v>
                </c:pt>
                <c:pt idx="36">
                  <c:v>0</c:v>
                </c:pt>
                <c:pt idx="37">
                  <c:v>0</c:v>
                </c:pt>
                <c:pt idx="38">
                  <c:v>5</c:v>
                </c:pt>
                <c:pt idx="39">
                  <c:v>5</c:v>
                </c:pt>
              </c:numCache>
            </c:numRef>
          </c:val>
        </c:ser>
        <c:axId val="15725245"/>
        <c:axId val="45061504"/>
      </c:radarChart>
      <c:catAx>
        <c:axId val="15725245"/>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45061504"/>
        <c:crosses val="autoZero"/>
        <c:auto val="1"/>
        <c:lblAlgn val="ctr"/>
        <c:lblOffset val="100"/>
        <c:noMultiLvlLbl val="0"/>
      </c:catAx>
      <c:valAx>
        <c:axId val="45061504"/>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15725245"/>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3 Risk Profile
Resulting Governance/Management
Objectives Importance</a:t>
            </a:r>
          </a:p>
        </c:rich>
      </c:tx>
      <c:overlay val="0"/>
      <c:spPr>
        <a:noFill/>
        <a:ln w="0">
          <a:noFill/>
        </a:ln>
      </c:spPr>
    </c:title>
    <c:autoTitleDeleted val="0"/>
    <c:plotArea>
      <c:radarChart>
        <c:radarStyle val="filled"/>
        <c:varyColors val="0"/>
        <c:ser>
          <c:idx val="0"/>
          <c:order val="0"/>
          <c:spPr>
            <a:solidFill>
              <a:srgbClr val="7030a0"/>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0</c:v>
                </c:pt>
                <c:pt idx="1">
                  <c:v>20</c:v>
                </c:pt>
                <c:pt idx="2">
                  <c:v>5</c:v>
                </c:pt>
                <c:pt idx="3">
                  <c:v>-5</c:v>
                </c:pt>
                <c:pt idx="4">
                  <c:v>-5</c:v>
                </c:pt>
                <c:pt idx="5">
                  <c:v>20</c:v>
                </c:pt>
                <c:pt idx="6">
                  <c:v>5</c:v>
                </c:pt>
                <c:pt idx="7">
                  <c:v>25</c:v>
                </c:pt>
                <c:pt idx="8">
                  <c:v>20</c:v>
                </c:pt>
                <c:pt idx="9">
                  <c:v>5</c:v>
                </c:pt>
                <c:pt idx="10">
                  <c:v>-15</c:v>
                </c:pt>
                <c:pt idx="11">
                  <c:v>-5</c:v>
                </c:pt>
                <c:pt idx="12">
                  <c:v>20</c:v>
                </c:pt>
                <c:pt idx="13">
                  <c:v>10</c:v>
                </c:pt>
                <c:pt idx="14">
                  <c:v>0</c:v>
                </c:pt>
                <c:pt idx="15">
                  <c:v>25</c:v>
                </c:pt>
                <c:pt idx="16">
                  <c:v>25</c:v>
                </c:pt>
                <c:pt idx="17">
                  <c:v>45</c:v>
                </c:pt>
                <c:pt idx="18">
                  <c:v>10</c:v>
                </c:pt>
                <c:pt idx="19">
                  <c:v>15</c:v>
                </c:pt>
                <c:pt idx="20">
                  <c:v>20</c:v>
                </c:pt>
                <c:pt idx="21">
                  <c:v>25</c:v>
                </c:pt>
                <c:pt idx="22">
                  <c:v>20</c:v>
                </c:pt>
                <c:pt idx="23">
                  <c:v>10</c:v>
                </c:pt>
                <c:pt idx="24">
                  <c:v>40</c:v>
                </c:pt>
                <c:pt idx="25">
                  <c:v>30</c:v>
                </c:pt>
                <c:pt idx="26">
                  <c:v>10</c:v>
                </c:pt>
                <c:pt idx="27">
                  <c:v>45</c:v>
                </c:pt>
                <c:pt idx="28">
                  <c:v>40</c:v>
                </c:pt>
                <c:pt idx="29">
                  <c:v>20</c:v>
                </c:pt>
                <c:pt idx="30">
                  <c:v>10</c:v>
                </c:pt>
                <c:pt idx="31">
                  <c:v>25</c:v>
                </c:pt>
                <c:pt idx="32">
                  <c:v>20</c:v>
                </c:pt>
                <c:pt idx="33">
                  <c:v>5</c:v>
                </c:pt>
                <c:pt idx="34">
                  <c:v>15</c:v>
                </c:pt>
                <c:pt idx="35">
                  <c:v>35</c:v>
                </c:pt>
                <c:pt idx="36">
                  <c:v>10</c:v>
                </c:pt>
                <c:pt idx="37">
                  <c:v>10</c:v>
                </c:pt>
                <c:pt idx="38">
                  <c:v>20</c:v>
                </c:pt>
                <c:pt idx="39">
                  <c:v>10</c:v>
                </c:pt>
              </c:numCache>
            </c:numRef>
          </c:val>
        </c:ser>
        <c:axId val="21307731"/>
        <c:axId val="31264151"/>
      </c:radarChart>
      <c:catAx>
        <c:axId val="21307731"/>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31264151"/>
        <c:crosses val="autoZero"/>
        <c:auto val="1"/>
        <c:lblAlgn val="ctr"/>
        <c:lblOffset val="100"/>
        <c:noMultiLvlLbl val="0"/>
      </c:catAx>
      <c:valAx>
        <c:axId val="31264151"/>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21307731"/>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4 IT-Related Issues
Resulting Governance/Management
Objectives Importance</a:t>
            </a:r>
          </a:p>
        </c:rich>
      </c:tx>
      <c:overlay val="0"/>
      <c:spPr>
        <a:noFill/>
        <a:ln w="0">
          <a:noFill/>
        </a:ln>
      </c:spPr>
    </c:title>
    <c:autoTitleDeleted val="0"/>
    <c:plotArea>
      <c:radarChart>
        <c:radarStyle val="filled"/>
        <c:varyColors val="0"/>
        <c:ser>
          <c:idx val="0"/>
          <c:order val="0"/>
          <c:spPr>
            <a:solidFill>
              <a:srgbClr val="4472c4"/>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-5</c:v>
                </c:pt>
                <c:pt idx="1">
                  <c:v>-5</c:v>
                </c:pt>
                <c:pt idx="2">
                  <c:v>5</c:v>
                </c:pt>
                <c:pt idx="3">
                  <c:v>-5</c:v>
                </c:pt>
                <c:pt idx="4">
                  <c:v>-10</c:v>
                </c:pt>
                <c:pt idx="5">
                  <c:v>0</c:v>
                </c:pt>
                <c:pt idx="6">
                  <c:v>-5</c:v>
                </c:pt>
                <c:pt idx="7">
                  <c:v>5</c:v>
                </c:pt>
                <c:pt idx="8">
                  <c:v>10</c:v>
                </c:pt>
                <c:pt idx="9">
                  <c:v>-5</c:v>
                </c:pt>
                <c:pt idx="10">
                  <c:v>-15</c:v>
                </c:pt>
                <c:pt idx="11">
                  <c:v>0</c:v>
                </c:pt>
                <c:pt idx="12">
                  <c:v>-10</c:v>
                </c:pt>
                <c:pt idx="13">
                  <c:v>-5</c:v>
                </c:pt>
                <c:pt idx="14">
                  <c:v>0</c:v>
                </c:pt>
                <c:pt idx="15">
                  <c:v>10</c:v>
                </c:pt>
                <c:pt idx="16">
                  <c:v>5</c:v>
                </c:pt>
                <c:pt idx="17">
                  <c:v>10</c:v>
                </c:pt>
                <c:pt idx="18">
                  <c:v>10</c:v>
                </c:pt>
                <c:pt idx="19">
                  <c:v>5</c:v>
                </c:pt>
                <c:pt idx="20">
                  <c:v>0</c:v>
                </c:pt>
                <c:pt idx="21">
                  <c:v>0</c:v>
                </c:pt>
                <c:pt idx="22">
                  <c:v>0</c:v>
                </c:pt>
                <c:pt idx="23">
                  <c:v>5</c:v>
                </c:pt>
                <c:pt idx="24">
                  <c:v>5</c:v>
                </c:pt>
                <c:pt idx="25">
                  <c:v>10</c:v>
                </c:pt>
                <c:pt idx="26">
                  <c:v>10</c:v>
                </c:pt>
                <c:pt idx="27">
                  <c:v>-20</c:v>
                </c:pt>
                <c:pt idx="28">
                  <c:v>10</c:v>
                </c:pt>
                <c:pt idx="29">
                  <c:v>5</c:v>
                </c:pt>
                <c:pt idx="30">
                  <c:v>5</c:v>
                </c:pt>
                <c:pt idx="31">
                  <c:v>5</c:v>
                </c:pt>
                <c:pt idx="32">
                  <c:v>5</c:v>
                </c:pt>
                <c:pt idx="33">
                  <c:v>15</c:v>
                </c:pt>
                <c:pt idx="34">
                  <c:v>15</c:v>
                </c:pt>
                <c:pt idx="35">
                  <c:v>10</c:v>
                </c:pt>
                <c:pt idx="36">
                  <c:v>0</c:v>
                </c:pt>
                <c:pt idx="37">
                  <c:v>0</c:v>
                </c:pt>
                <c:pt idx="38">
                  <c:v>20</c:v>
                </c:pt>
                <c:pt idx="39">
                  <c:v>0</c:v>
                </c:pt>
              </c:numCache>
            </c:numRef>
          </c:val>
        </c:ser>
        <c:axId val="52351694"/>
        <c:axId val="30363616"/>
      </c:radarChart>
      <c:catAx>
        <c:axId val="52351694"/>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30363616"/>
        <c:crosses val="autoZero"/>
        <c:auto val="1"/>
        <c:lblAlgn val="ctr"/>
        <c:lblOffset val="100"/>
        <c:noMultiLvlLbl val="0"/>
      </c:catAx>
      <c:valAx>
        <c:axId val="30363616"/>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52351694"/>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800" spc="-1" strike="noStrike">
                <a:solidFill>
                  <a:srgbClr val="595959"/>
                </a:solidFill>
                <a:latin typeface="Calibri"/>
              </a:defRPr>
            </a:pPr>
            <a:r>
              <a:rPr b="0" lang="en-US" sz="1800" spc="-1" strike="noStrike">
                <a:solidFill>
                  <a:srgbClr val="595959"/>
                </a:solidFill>
                <a:latin typeface="Calibri"/>
              </a:rPr>
              <a:t>Initial Summary—Governance and Management Objectives</a:t>
            </a:r>
          </a:p>
        </c:rich>
      </c:tx>
      <c:overlay val="0"/>
      <c:spPr>
        <a:noFill/>
        <a:ln w="0">
          <a:noFill/>
        </a:ln>
      </c:spPr>
    </c:title>
    <c:autoTitleDeleted val="0"/>
    <c:plotArea>
      <c:barChart>
        <c:barDir val="bar"/>
        <c:grouping val="clustered"/>
        <c:varyColors val="0"/>
        <c:ser>
          <c:idx val="0"/>
          <c:order val="0"/>
          <c:spPr>
            <a:solidFill>
              <a:srgbClr val="385623">
                <a:alpha val="50000"/>
              </a:srgbClr>
            </a:solidFill>
            <a:ln w="0">
              <a:noFill/>
            </a:ln>
          </c:spPr>
          <c:invertIfNegative val="0"/>
          <c:dLbls>
            <c:numFmt formatCode="0" sourceLinked="1"/>
            <c:txPr>
              <a:bodyPr wrap="square"/>
              <a:lstStyle/>
              <a:p>
                <a:pPr>
                  <a:defRPr b="1" sz="1200" spc="-1" strike="noStrike">
                    <a:solidFill>
                      <a:srgbClr val="ffffff"/>
                    </a:solidFill>
                    <a:latin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Canvas!$G$6:$G$45</c:f>
              <c:numCache>
                <c:formatCode>0</c:formatCode>
                <c:ptCount val="40"/>
                <c:pt idx="0">
                  <c:v>5</c:v>
                </c:pt>
                <c:pt idx="1">
                  <c:v>30</c:v>
                </c:pt>
                <c:pt idx="2">
                  <c:v>45</c:v>
                </c:pt>
                <c:pt idx="3">
                  <c:v>-30</c:v>
                </c:pt>
                <c:pt idx="4">
                  <c:v>-15</c:v>
                </c:pt>
                <c:pt idx="5">
                  <c:v>25</c:v>
                </c:pt>
                <c:pt idx="6">
                  <c:v>-15</c:v>
                </c:pt>
                <c:pt idx="7">
                  <c:v>5</c:v>
                </c:pt>
                <c:pt idx="8">
                  <c:v>40</c:v>
                </c:pt>
                <c:pt idx="9">
                  <c:v>-10</c:v>
                </c:pt>
                <c:pt idx="10">
                  <c:v>-60</c:v>
                </c:pt>
                <c:pt idx="11">
                  <c:v>-25</c:v>
                </c:pt>
                <c:pt idx="12">
                  <c:v>30</c:v>
                </c:pt>
                <c:pt idx="13">
                  <c:v>30</c:v>
                </c:pt>
                <c:pt idx="14">
                  <c:v>-5</c:v>
                </c:pt>
                <c:pt idx="15">
                  <c:v>60</c:v>
                </c:pt>
                <c:pt idx="16">
                  <c:v>85</c:v>
                </c:pt>
                <c:pt idx="17">
                  <c:v>100</c:v>
                </c:pt>
                <c:pt idx="18">
                  <c:v>15</c:v>
                </c:pt>
                <c:pt idx="19">
                  <c:v>0</c:v>
                </c:pt>
                <c:pt idx="20">
                  <c:v>15</c:v>
                </c:pt>
                <c:pt idx="21">
                  <c:v>20</c:v>
                </c:pt>
                <c:pt idx="22">
                  <c:v>45</c:v>
                </c:pt>
                <c:pt idx="23">
                  <c:v>-10</c:v>
                </c:pt>
                <c:pt idx="24">
                  <c:v>50</c:v>
                </c:pt>
                <c:pt idx="25">
                  <c:v>50</c:v>
                </c:pt>
                <c:pt idx="26">
                  <c:v>30</c:v>
                </c:pt>
                <c:pt idx="27">
                  <c:v>5</c:v>
                </c:pt>
                <c:pt idx="28">
                  <c:v>55</c:v>
                </c:pt>
                <c:pt idx="29">
                  <c:v>10</c:v>
                </c:pt>
                <c:pt idx="30">
                  <c:v>20</c:v>
                </c:pt>
                <c:pt idx="31">
                  <c:v>75</c:v>
                </c:pt>
                <c:pt idx="32">
                  <c:v>45</c:v>
                </c:pt>
                <c:pt idx="33">
                  <c:v>65</c:v>
                </c:pt>
                <c:pt idx="34">
                  <c:v>65</c:v>
                </c:pt>
                <c:pt idx="35">
                  <c:v>55</c:v>
                </c:pt>
                <c:pt idx="36">
                  <c:v>10</c:v>
                </c:pt>
                <c:pt idx="37">
                  <c:v>10</c:v>
                </c:pt>
                <c:pt idx="38">
                  <c:v>45</c:v>
                </c:pt>
                <c:pt idx="39">
                  <c:v>15</c:v>
                </c:pt>
              </c:numCache>
            </c:numRef>
          </c:val>
        </c:ser>
        <c:gapWidth val="41"/>
        <c:overlap val="0"/>
        <c:axId val="44310707"/>
        <c:axId val="46121206"/>
      </c:barChart>
      <c:catAx>
        <c:axId val="44310707"/>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1" sz="1100" spc="-1" strike="noStrike">
                <a:solidFill>
                  <a:srgbClr val="595959"/>
                </a:solidFill>
                <a:latin typeface="Calibri"/>
              </a:defRPr>
            </a:pPr>
          </a:p>
        </c:txPr>
        <c:crossAx val="46121206"/>
        <c:crosses val="autoZero"/>
        <c:auto val="1"/>
        <c:lblAlgn val="ctr"/>
        <c:lblOffset val="100"/>
        <c:noMultiLvlLbl val="0"/>
      </c:catAx>
      <c:valAx>
        <c:axId val="46121206"/>
        <c:scaling>
          <c:orientation val="minMax"/>
          <c:min val="-100"/>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4431070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5 Threat Landscape
Resulting Governance/Management
Objectives Importance</a:t>
            </a:r>
          </a:p>
        </c:rich>
      </c:tx>
      <c:overlay val="0"/>
      <c:spPr>
        <a:noFill/>
        <a:ln w="0">
          <a:noFill/>
        </a:ln>
      </c:spPr>
    </c:title>
    <c:autoTitleDeleted val="0"/>
    <c:plotArea>
      <c:radarChart>
        <c:radarStyle val="filled"/>
        <c:varyColors val="0"/>
        <c:ser>
          <c:idx val="0"/>
          <c:order val="0"/>
          <c:spPr>
            <a:solidFill>
              <a:srgbClr val="ed7d31"/>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80</c:v>
                </c:pt>
                <c:pt idx="1">
                  <c:v>0</c:v>
                </c:pt>
                <c:pt idx="2">
                  <c:v>100</c:v>
                </c:pt>
                <c:pt idx="3">
                  <c:v>0</c:v>
                </c:pt>
                <c:pt idx="4">
                  <c:v>50</c:v>
                </c:pt>
                <c:pt idx="5">
                  <c:v>80</c:v>
                </c:pt>
                <c:pt idx="6">
                  <c:v>0</c:v>
                </c:pt>
                <c:pt idx="7">
                  <c:v>80</c:v>
                </c:pt>
                <c:pt idx="8">
                  <c:v>0</c:v>
                </c:pt>
                <c:pt idx="9">
                  <c:v>0</c:v>
                </c:pt>
                <c:pt idx="10">
                  <c:v>0</c:v>
                </c:pt>
                <c:pt idx="11">
                  <c:v>50</c:v>
                </c:pt>
                <c:pt idx="12">
                  <c:v>0</c:v>
                </c:pt>
                <c:pt idx="13">
                  <c:v>50</c:v>
                </c:pt>
                <c:pt idx="14">
                  <c:v>80</c:v>
                </c:pt>
                <c:pt idx="15">
                  <c:v>50</c:v>
                </c:pt>
                <c:pt idx="16">
                  <c:v>100</c:v>
                </c:pt>
                <c:pt idx="17">
                  <c:v>100</c:v>
                </c:pt>
                <c:pt idx="18">
                  <c:v>80</c:v>
                </c:pt>
                <c:pt idx="19">
                  <c:v>0</c:v>
                </c:pt>
                <c:pt idx="20">
                  <c:v>0</c:v>
                </c:pt>
                <c:pt idx="21">
                  <c:v>0</c:v>
                </c:pt>
                <c:pt idx="22">
                  <c:v>50</c:v>
                </c:pt>
                <c:pt idx="23">
                  <c:v>0</c:v>
                </c:pt>
                <c:pt idx="24">
                  <c:v>80</c:v>
                </c:pt>
                <c:pt idx="25">
                  <c:v>0</c:v>
                </c:pt>
                <c:pt idx="26">
                  <c:v>0</c:v>
                </c:pt>
                <c:pt idx="27">
                  <c:v>0</c:v>
                </c:pt>
                <c:pt idx="28">
                  <c:v>80</c:v>
                </c:pt>
                <c:pt idx="29">
                  <c:v>0</c:v>
                </c:pt>
                <c:pt idx="30">
                  <c:v>0</c:v>
                </c:pt>
                <c:pt idx="31">
                  <c:v>80</c:v>
                </c:pt>
                <c:pt idx="32">
                  <c:v>50</c:v>
                </c:pt>
                <c:pt idx="33">
                  <c:v>100</c:v>
                </c:pt>
                <c:pt idx="34">
                  <c:v>80</c:v>
                </c:pt>
                <c:pt idx="35">
                  <c:v>80</c:v>
                </c:pt>
                <c:pt idx="36">
                  <c:v>80</c:v>
                </c:pt>
                <c:pt idx="37">
                  <c:v>50</c:v>
                </c:pt>
                <c:pt idx="38">
                  <c:v>80</c:v>
                </c:pt>
                <c:pt idx="39">
                  <c:v>80</c:v>
                </c:pt>
              </c:numCache>
            </c:numRef>
          </c:val>
        </c:ser>
        <c:axId val="92133642"/>
        <c:axId val="2443465"/>
      </c:radarChart>
      <c:catAx>
        <c:axId val="92133642"/>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2443465"/>
        <c:crosses val="autoZero"/>
        <c:auto val="1"/>
        <c:lblAlgn val="ctr"/>
        <c:lblOffset val="100"/>
        <c:noMultiLvlLbl val="0"/>
      </c:catAx>
      <c:valAx>
        <c:axId val="2443465"/>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92133642"/>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6 Compliance Requirements
Resulting Governance/Management
Objectives Importance</a:t>
            </a:r>
          </a:p>
        </c:rich>
      </c:tx>
      <c:overlay val="0"/>
      <c:spPr>
        <a:noFill/>
        <a:ln w="0">
          <a:noFill/>
        </a:ln>
      </c:spPr>
    </c:title>
    <c:autoTitleDeleted val="0"/>
    <c:plotArea>
      <c:radarChart>
        <c:radarStyle val="filled"/>
        <c:varyColors val="0"/>
        <c:ser>
          <c:idx val="0"/>
          <c:order val="0"/>
          <c:spPr>
            <a:solidFill>
              <a:srgbClr val="ed7d31"/>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0</c:v>
                </c:pt>
                <c:pt idx="2">
                  <c:v>100</c:v>
                </c:pt>
                <c:pt idx="3">
                  <c:v>0</c:v>
                </c:pt>
                <c:pt idx="4">
                  <c:v>50</c:v>
                </c:pt>
                <c:pt idx="5">
                  <c:v>35</c:v>
                </c:pt>
                <c:pt idx="6">
                  <c:v>0</c:v>
                </c:pt>
                <c:pt idx="7">
                  <c:v>0</c:v>
                </c:pt>
                <c:pt idx="8">
                  <c:v>0</c:v>
                </c:pt>
                <c:pt idx="9">
                  <c:v>0</c:v>
                </c:pt>
                <c:pt idx="10">
                  <c:v>0</c:v>
                </c:pt>
                <c:pt idx="11">
                  <c:v>0</c:v>
                </c:pt>
                <c:pt idx="12">
                  <c:v>0</c:v>
                </c:pt>
                <c:pt idx="13">
                  <c:v>0</c:v>
                </c:pt>
                <c:pt idx="14">
                  <c:v>50</c:v>
                </c:pt>
                <c:pt idx="15">
                  <c:v>0</c:v>
                </c:pt>
                <c:pt idx="16">
                  <c:v>100</c:v>
                </c:pt>
                <c:pt idx="17">
                  <c:v>50</c:v>
                </c:pt>
                <c:pt idx="18">
                  <c:v>35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50</c:v>
                </c:pt>
                <c:pt idx="34">
                  <c:v>100</c:v>
                </c:pt>
                <c:pt idx="35">
                  <c:v>0</c:v>
                </c:pt>
                <c:pt idx="36">
                  <c:v>0</c:v>
                </c:pt>
                <c:pt idx="37">
                  <c:v>0</c:v>
                </c:pt>
                <c:pt idx="38">
                  <c:v>100</c:v>
                </c:pt>
                <c:pt idx="39">
                  <c:v>75</c:v>
                </c:pt>
              </c:numCache>
            </c:numRef>
          </c:val>
        </c:ser>
        <c:axId val="66482931"/>
        <c:axId val="50865805"/>
      </c:radarChart>
      <c:catAx>
        <c:axId val="66482931"/>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50865805"/>
        <c:crosses val="autoZero"/>
        <c:auto val="1"/>
        <c:lblAlgn val="ctr"/>
        <c:lblOffset val="100"/>
        <c:noMultiLvlLbl val="0"/>
      </c:catAx>
      <c:valAx>
        <c:axId val="50865805"/>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66482931"/>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7 Role of IT
Resulting Governance/Management
Objectives Importance</a:t>
            </a:r>
          </a:p>
        </c:rich>
      </c:tx>
      <c:overlay val="0"/>
      <c:spPr>
        <a:noFill/>
        <a:ln w="0">
          <a:noFill/>
        </a:ln>
      </c:spPr>
    </c:title>
    <c:autoTitleDeleted val="0"/>
    <c:plotArea>
      <c:radarChart>
        <c:radarStyle val="filled"/>
        <c:varyColors val="0"/>
        <c:ser>
          <c:idx val="0"/>
          <c:order val="0"/>
          <c:spPr>
            <a:solidFill>
              <a:srgbClr val="ed7d31"/>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20</c:v>
                </c:pt>
                <c:pt idx="1">
                  <c:v>5</c:v>
                </c:pt>
                <c:pt idx="2">
                  <c:v>20</c:v>
                </c:pt>
                <c:pt idx="3">
                  <c:v>10</c:v>
                </c:pt>
                <c:pt idx="4">
                  <c:v>10</c:v>
                </c:pt>
                <c:pt idx="5">
                  <c:v>10</c:v>
                </c:pt>
                <c:pt idx="6">
                  <c:v>0</c:v>
                </c:pt>
                <c:pt idx="7">
                  <c:v>0</c:v>
                </c:pt>
                <c:pt idx="8">
                  <c:v>5</c:v>
                </c:pt>
                <c:pt idx="9">
                  <c:v>5</c:v>
                </c:pt>
                <c:pt idx="10">
                  <c:v>10</c:v>
                </c:pt>
                <c:pt idx="11">
                  <c:v>5</c:v>
                </c:pt>
                <c:pt idx="12">
                  <c:v>5</c:v>
                </c:pt>
                <c:pt idx="13">
                  <c:v>10</c:v>
                </c:pt>
                <c:pt idx="14">
                  <c:v>10</c:v>
                </c:pt>
                <c:pt idx="15">
                  <c:v>5</c:v>
                </c:pt>
                <c:pt idx="16">
                  <c:v>20</c:v>
                </c:pt>
                <c:pt idx="17">
                  <c:v>15</c:v>
                </c:pt>
                <c:pt idx="18">
                  <c:v>10</c:v>
                </c:pt>
                <c:pt idx="19">
                  <c:v>5</c:v>
                </c:pt>
                <c:pt idx="20">
                  <c:v>0</c:v>
                </c:pt>
                <c:pt idx="21">
                  <c:v>0</c:v>
                </c:pt>
                <c:pt idx="22">
                  <c:v>10</c:v>
                </c:pt>
                <c:pt idx="23">
                  <c:v>10</c:v>
                </c:pt>
                <c:pt idx="24">
                  <c:v>15</c:v>
                </c:pt>
                <c:pt idx="25">
                  <c:v>0</c:v>
                </c:pt>
                <c:pt idx="26">
                  <c:v>10</c:v>
                </c:pt>
                <c:pt idx="27">
                  <c:v>10</c:v>
                </c:pt>
                <c:pt idx="28">
                  <c:v>10</c:v>
                </c:pt>
                <c:pt idx="29">
                  <c:v>0</c:v>
                </c:pt>
                <c:pt idx="30">
                  <c:v>25</c:v>
                </c:pt>
                <c:pt idx="31">
                  <c:v>20</c:v>
                </c:pt>
                <c:pt idx="32">
                  <c:v>20</c:v>
                </c:pt>
                <c:pt idx="33">
                  <c:v>20</c:v>
                </c:pt>
                <c:pt idx="34">
                  <c:v>15</c:v>
                </c:pt>
                <c:pt idx="35">
                  <c:v>10</c:v>
                </c:pt>
                <c:pt idx="36">
                  <c:v>10</c:v>
                </c:pt>
                <c:pt idx="37">
                  <c:v>10</c:v>
                </c:pt>
                <c:pt idx="38">
                  <c:v>5</c:v>
                </c:pt>
                <c:pt idx="39">
                  <c:v>10</c:v>
                </c:pt>
              </c:numCache>
            </c:numRef>
          </c:val>
        </c:ser>
        <c:axId val="44928619"/>
        <c:axId val="11405786"/>
      </c:radarChart>
      <c:catAx>
        <c:axId val="44928619"/>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11405786"/>
        <c:crosses val="autoZero"/>
        <c:auto val="1"/>
        <c:lblAlgn val="ctr"/>
        <c:lblOffset val="100"/>
        <c:noMultiLvlLbl val="0"/>
      </c:catAx>
      <c:valAx>
        <c:axId val="11405786"/>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44928619"/>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8 Sourcing Model for IT
Resulting Governance/Management
Objectives Importance</a:t>
            </a:r>
          </a:p>
        </c:rich>
      </c:tx>
      <c:overlay val="0"/>
      <c:spPr>
        <a:noFill/>
        <a:ln w="0">
          <a:noFill/>
        </a:ln>
      </c:spPr>
    </c:title>
    <c:autoTitleDeleted val="0"/>
    <c:plotArea>
      <c:radarChart>
        <c:radarStyle val="filled"/>
        <c:varyColors val="0"/>
        <c:ser>
          <c:idx val="0"/>
          <c:order val="0"/>
          <c:spPr>
            <a:solidFill>
              <a:srgbClr val="ed7d31"/>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-5</c:v>
                </c:pt>
                <c:pt idx="3">
                  <c:v>0</c:v>
                </c:pt>
                <c:pt idx="4">
                  <c:v>0</c:v>
                </c:pt>
                <c:pt idx="5">
                  <c:v>0</c:v>
                </c:pt>
                <c:pt idx="6">
                  <c:v>0</c:v>
                </c:pt>
                <c:pt idx="7">
                  <c:v>0</c:v>
                </c:pt>
                <c:pt idx="8">
                  <c:v>0</c:v>
                </c:pt>
                <c:pt idx="9">
                  <c:v>0</c:v>
                </c:pt>
                <c:pt idx="10">
                  <c:v>0</c:v>
                </c:pt>
                <c:pt idx="11">
                  <c:v>0</c:v>
                </c:pt>
                <c:pt idx="12">
                  <c:v>0</c:v>
                </c:pt>
                <c:pt idx="13">
                  <c:v>-25</c:v>
                </c:pt>
                <c:pt idx="14">
                  <c:v>-25</c:v>
                </c:pt>
                <c:pt idx="15">
                  <c:v>0</c:v>
                </c:pt>
                <c:pt idx="16">
                  <c:v>-15</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-20</c:v>
                </c:pt>
                <c:pt idx="37">
                  <c:v>0</c:v>
                </c:pt>
                <c:pt idx="38">
                  <c:v>0</c:v>
                </c:pt>
                <c:pt idx="39">
                  <c:v>0</c:v>
                </c:pt>
              </c:numCache>
            </c:numRef>
          </c:val>
        </c:ser>
        <c:axId val="17372679"/>
        <c:axId val="51279817"/>
      </c:radarChart>
      <c:catAx>
        <c:axId val="17372679"/>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51279817"/>
        <c:crosses val="autoZero"/>
        <c:auto val="1"/>
        <c:lblAlgn val="ctr"/>
        <c:lblOffset val="100"/>
        <c:noMultiLvlLbl val="0"/>
      </c:catAx>
      <c:valAx>
        <c:axId val="51279817"/>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17372679"/>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4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9 IT Implementation Methods
Resulting Governance/Management
Objectives Importance</a:t>
            </a:r>
          </a:p>
        </c:rich>
      </c:tx>
      <c:overlay val="0"/>
      <c:spPr>
        <a:noFill/>
        <a:ln w="0">
          <a:noFill/>
        </a:ln>
      </c:spPr>
    </c:title>
    <c:autoTitleDeleted val="0"/>
    <c:plotArea>
      <c:radarChart>
        <c:radarStyle val="filled"/>
        <c:varyColors val="0"/>
        <c:ser>
          <c:idx val="0"/>
          <c:order val="0"/>
          <c:spPr>
            <a:solidFill>
              <a:srgbClr val="ed7d31"/>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-5</c:v>
                </c:pt>
                <c:pt idx="8">
                  <c:v>0</c:v>
                </c:pt>
                <c:pt idx="9">
                  <c:v>0</c:v>
                </c:pt>
                <c:pt idx="10">
                  <c:v>0</c:v>
                </c:pt>
                <c:pt idx="11">
                  <c:v>0</c:v>
                </c:pt>
                <c:pt idx="12">
                  <c:v>0</c:v>
                </c:pt>
                <c:pt idx="13">
                  <c:v>0</c:v>
                </c:pt>
                <c:pt idx="14">
                  <c:v>0</c:v>
                </c:pt>
                <c:pt idx="15">
                  <c:v>0</c:v>
                </c:pt>
                <c:pt idx="16">
                  <c:v>0</c:v>
                </c:pt>
                <c:pt idx="17">
                  <c:v>0</c:v>
                </c:pt>
                <c:pt idx="18">
                  <c:v>0</c:v>
                </c:pt>
                <c:pt idx="19">
                  <c:v>0</c:v>
                </c:pt>
                <c:pt idx="20">
                  <c:v>5</c:v>
                </c:pt>
                <c:pt idx="21">
                  <c:v>5</c:v>
                </c:pt>
                <c:pt idx="22">
                  <c:v>0</c:v>
                </c:pt>
                <c:pt idx="23">
                  <c:v>5</c:v>
                </c:pt>
                <c:pt idx="24">
                  <c:v>5</c:v>
                </c:pt>
                <c:pt idx="25">
                  <c:v>0</c:v>
                </c:pt>
                <c:pt idx="26">
                  <c:v>0</c:v>
                </c:pt>
                <c:pt idx="27">
                  <c:v>0</c:v>
                </c:pt>
                <c:pt idx="28">
                  <c:v>0</c:v>
                </c:pt>
                <c:pt idx="29">
                  <c:v>5</c:v>
                </c:pt>
                <c:pt idx="30">
                  <c:v>-5</c:v>
                </c:pt>
                <c:pt idx="31">
                  <c:v>0</c:v>
                </c:pt>
                <c:pt idx="32">
                  <c:v>0</c:v>
                </c:pt>
                <c:pt idx="33">
                  <c:v>0</c:v>
                </c:pt>
                <c:pt idx="34">
                  <c:v>0</c:v>
                </c:pt>
                <c:pt idx="35">
                  <c:v>0</c:v>
                </c:pt>
                <c:pt idx="36">
                  <c:v>0</c:v>
                </c:pt>
                <c:pt idx="37">
                  <c:v>0</c:v>
                </c:pt>
                <c:pt idx="38">
                  <c:v>0</c:v>
                </c:pt>
                <c:pt idx="39">
                  <c:v>0</c:v>
                </c:pt>
              </c:numCache>
            </c:numRef>
          </c:val>
        </c:ser>
        <c:axId val="1478789"/>
        <c:axId val="17638125"/>
      </c:radarChart>
      <c:catAx>
        <c:axId val="1478789"/>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17638125"/>
        <c:crosses val="autoZero"/>
        <c:auto val="1"/>
        <c:lblAlgn val="ctr"/>
        <c:lblOffset val="100"/>
        <c:noMultiLvlLbl val="0"/>
      </c:catAx>
      <c:valAx>
        <c:axId val="17638125"/>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1478789"/>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4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600" spc="-1" strike="noStrike">
                <a:solidFill>
                  <a:srgbClr val="595959"/>
                </a:solidFill>
                <a:latin typeface="Calibri"/>
              </a:defRPr>
            </a:pPr>
            <a:r>
              <a:rPr b="0" lang="en-US" sz="1600" spc="-1" strike="noStrike">
                <a:solidFill>
                  <a:srgbClr val="595959"/>
                </a:solidFill>
                <a:latin typeface="Calibri"/>
              </a:rPr>
              <a:t>Design Factor 10 Technology Adoption Strategy
Resulting Governance/Management
Objectives Importance</a:t>
            </a:r>
          </a:p>
        </c:rich>
      </c:tx>
      <c:overlay val="0"/>
      <c:spPr>
        <a:noFill/>
        <a:ln w="0">
          <a:noFill/>
        </a:ln>
      </c:spPr>
    </c:title>
    <c:autoTitleDeleted val="0"/>
    <c:plotArea>
      <c:radarChart>
        <c:radarStyle val="filled"/>
        <c:varyColors val="0"/>
        <c:ser>
          <c:idx val="0"/>
          <c:order val="0"/>
          <c:spPr>
            <a:solidFill>
              <a:srgbClr val="ed7d31"/>
            </a:solidFill>
            <a:ln w="0">
              <a:noFill/>
            </a:ln>
          </c:spPr>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0</c:v>
                </c:pt>
                <c:pt idx="3">
                  <c:v>0</c:v>
                </c:pt>
                <c:pt idx="4">
                  <c:v>0</c:v>
                </c:pt>
                <c:pt idx="5">
                  <c:v>-5</c:v>
                </c:pt>
                <c:pt idx="6">
                  <c:v>0</c:v>
                </c:pt>
                <c:pt idx="7">
                  <c:v>-5</c:v>
                </c:pt>
                <c:pt idx="8">
                  <c:v>0</c:v>
                </c:pt>
                <c:pt idx="9">
                  <c:v>-5</c:v>
                </c:pt>
                <c:pt idx="10">
                  <c:v>0</c:v>
                </c:pt>
                <c:pt idx="11">
                  <c:v>-5</c:v>
                </c:pt>
                <c:pt idx="12">
                  <c:v>-5</c:v>
                </c:pt>
                <c:pt idx="13">
                  <c:v>0</c:v>
                </c:pt>
                <c:pt idx="14">
                  <c:v>-5</c:v>
                </c:pt>
                <c:pt idx="15">
                  <c:v>0</c:v>
                </c:pt>
                <c:pt idx="16">
                  <c:v>0</c:v>
                </c:pt>
                <c:pt idx="17">
                  <c:v>0</c:v>
                </c:pt>
                <c:pt idx="18">
                  <c:v>0</c:v>
                </c:pt>
                <c:pt idx="19">
                  <c:v>0</c:v>
                </c:pt>
                <c:pt idx="20">
                  <c:v>0</c:v>
                </c:pt>
                <c:pt idx="21">
                  <c:v>-5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axId val="39866967"/>
        <c:axId val="27741072"/>
      </c:radarChart>
      <c:catAx>
        <c:axId val="39866967"/>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1" sz="900" spc="-1" strike="noStrike">
                <a:solidFill>
                  <a:srgbClr val="595959"/>
                </a:solidFill>
                <a:latin typeface="Calibri"/>
              </a:defRPr>
            </a:pPr>
          </a:p>
        </c:txPr>
        <c:crossAx val="27741072"/>
        <c:crosses val="autoZero"/>
        <c:auto val="1"/>
        <c:lblAlgn val="ctr"/>
        <c:lblOffset val="100"/>
        <c:noMultiLvlLbl val="0"/>
      </c:catAx>
      <c:valAx>
        <c:axId val="27741072"/>
        <c:scaling>
          <c:orientation val="minMax"/>
          <c:max val="100"/>
          <c:min val="-100"/>
        </c:scaling>
        <c:delete val="0"/>
        <c:axPos val="l"/>
        <c:majorGridlines>
          <c:spPr>
            <a:ln w="9360">
              <a:solidFill>
                <a:srgbClr val="d9d9d9"/>
              </a:solidFill>
              <a:round/>
            </a:ln>
          </c:spPr>
        </c:majorGridlines>
        <c:numFmt formatCode="0_ ;[RED]\-0\ " sourceLinked="0"/>
        <c:majorTickMark val="none"/>
        <c:minorTickMark val="none"/>
        <c:tickLblPos val="nextTo"/>
        <c:spPr>
          <a:ln w="3240">
            <a:solidFill>
              <a:srgbClr val="bfbfbf"/>
            </a:solidFill>
            <a:round/>
          </a:ln>
        </c:spPr>
        <c:txPr>
          <a:bodyPr/>
          <a:lstStyle/>
          <a:p>
            <a:pPr>
              <a:defRPr b="1" sz="900" spc="-1" strike="noStrike">
                <a:solidFill>
                  <a:srgbClr val="595959"/>
                </a:solidFill>
                <a:latin typeface="Calibri"/>
              </a:defRPr>
            </a:pPr>
          </a:p>
        </c:txPr>
        <c:crossAx val="39866967"/>
        <c:crosses val="autoZero"/>
        <c:crossBetween val="midCat"/>
        <c:majorUnit val="25"/>
      </c:valAx>
      <c:spPr>
        <a:noFill/>
        <a:ln w="0">
          <a:noFill/>
        </a:ln>
      </c:spPr>
    </c:plotArea>
    <c:plotVisOnly val="1"/>
    <c:dispBlanksAs val="gap"/>
  </c:chart>
  <c:spPr>
    <a:solidFill>
      <a:srgbClr val="ffffff"/>
    </a:solidFill>
    <a:ln w="9360">
      <a:solidFill>
        <a:srgbClr val="d9d9d9"/>
      </a:solidFill>
      <a:round/>
    </a:ln>
  </c:spPr>
</c:chartSpace>
</file>

<file path=xl/charts/chart4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000" spc="-1" strike="noStrike">
                <a:solidFill>
                  <a:srgbClr val="595959"/>
                </a:solidFill>
                <a:latin typeface="Calibri"/>
              </a:defRPr>
            </a:pPr>
            <a:r>
              <a:rPr b="0" lang="en-US" sz="2000" spc="-1" strike="noStrike">
                <a:solidFill>
                  <a:srgbClr val="595959"/>
                </a:solidFill>
                <a:latin typeface="Calibri"/>
              </a:rPr>
              <a:t>Governance and Management Objectives Importance (All Design Factors)</a:t>
            </a:r>
          </a:p>
        </c:rich>
      </c:tx>
      <c:overlay val="0"/>
      <c:spPr>
        <a:noFill/>
        <a:ln w="0">
          <a:noFill/>
        </a:ln>
      </c:spPr>
    </c:title>
    <c:autoTitleDeleted val="0"/>
    <c:plotArea>
      <c:barChart>
        <c:barDir val="bar"/>
        <c:grouping val="clustered"/>
        <c:varyColors val="0"/>
        <c:ser>
          <c:idx val="0"/>
          <c:order val="0"/>
          <c:spPr>
            <a:solidFill>
              <a:srgbClr val="1f4e79">
                <a:alpha val="51000"/>
              </a:srgbClr>
            </a:solidFill>
            <a:ln w="0">
              <a:noFill/>
            </a:ln>
          </c:spPr>
          <c:invertIfNegative val="0"/>
          <c:dLbls>
            <c:numFmt formatCode="General" sourceLinked="1"/>
            <c:txPr>
              <a:bodyPr wrap="square"/>
              <a:lstStyle/>
              <a:p>
                <a:pPr>
                  <a:defRPr b="1" sz="1600" spc="-1" strike="noStrike">
                    <a:solidFill>
                      <a:srgbClr val="ffffff"/>
                    </a:solidFill>
                    <a:latin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Canvas!$Q$6:$Q$45</c:f>
              <c:numCache>
                <c:formatCode>General</c:formatCode>
                <c:ptCount val="40"/>
                <c:pt idx="0">
                  <c:v>55</c:v>
                </c:pt>
                <c:pt idx="1">
                  <c:v>10</c:v>
                </c:pt>
                <c:pt idx="2">
                  <c:v>90</c:v>
                </c:pt>
                <c:pt idx="3">
                  <c:v>-5</c:v>
                </c:pt>
                <c:pt idx="4">
                  <c:v>30</c:v>
                </c:pt>
                <c:pt idx="5">
                  <c:v>50</c:v>
                </c:pt>
                <c:pt idx="6">
                  <c:v>-5</c:v>
                </c:pt>
                <c:pt idx="7">
                  <c:v>25</c:v>
                </c:pt>
                <c:pt idx="8">
                  <c:v>15</c:v>
                </c:pt>
                <c:pt idx="9">
                  <c:v>-5</c:v>
                </c:pt>
                <c:pt idx="10">
                  <c:v>-15</c:v>
                </c:pt>
                <c:pt idx="11">
                  <c:v>10</c:v>
                </c:pt>
                <c:pt idx="12">
                  <c:v>10</c:v>
                </c:pt>
                <c:pt idx="13">
                  <c:v>20</c:v>
                </c:pt>
                <c:pt idx="14">
                  <c:v>35</c:v>
                </c:pt>
                <c:pt idx="15">
                  <c:v>40</c:v>
                </c:pt>
                <c:pt idx="16">
                  <c:v>100</c:v>
                </c:pt>
                <c:pt idx="17">
                  <c:v>90</c:v>
                </c:pt>
                <c:pt idx="18">
                  <c:v>50</c:v>
                </c:pt>
                <c:pt idx="19">
                  <c:v>0</c:v>
                </c:pt>
                <c:pt idx="20">
                  <c:v>5</c:v>
                </c:pt>
                <c:pt idx="21">
                  <c:v>5</c:v>
                </c:pt>
                <c:pt idx="22">
                  <c:v>35</c:v>
                </c:pt>
                <c:pt idx="23">
                  <c:v>0</c:v>
                </c:pt>
                <c:pt idx="24">
                  <c:v>50</c:v>
                </c:pt>
                <c:pt idx="25">
                  <c:v>15</c:v>
                </c:pt>
                <c:pt idx="26">
                  <c:v>15</c:v>
                </c:pt>
                <c:pt idx="27">
                  <c:v>5</c:v>
                </c:pt>
                <c:pt idx="28">
                  <c:v>50</c:v>
                </c:pt>
                <c:pt idx="29">
                  <c:v>5</c:v>
                </c:pt>
                <c:pt idx="30">
                  <c:v>15</c:v>
                </c:pt>
                <c:pt idx="31">
                  <c:v>60</c:v>
                </c:pt>
                <c:pt idx="32">
                  <c:v>40</c:v>
                </c:pt>
                <c:pt idx="33">
                  <c:v>80</c:v>
                </c:pt>
                <c:pt idx="34">
                  <c:v>90</c:v>
                </c:pt>
                <c:pt idx="35">
                  <c:v>50</c:v>
                </c:pt>
                <c:pt idx="36">
                  <c:v>25</c:v>
                </c:pt>
                <c:pt idx="37">
                  <c:v>25</c:v>
                </c:pt>
                <c:pt idx="38">
                  <c:v>80</c:v>
                </c:pt>
                <c:pt idx="39">
                  <c:v>60</c:v>
                </c:pt>
              </c:numCache>
            </c:numRef>
          </c:val>
        </c:ser>
        <c:gapWidth val="50"/>
        <c:overlap val="0"/>
        <c:axId val="18051083"/>
        <c:axId val="5506806"/>
      </c:barChart>
      <c:catAx>
        <c:axId val="18051083"/>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1" sz="1400" spc="-1" strike="noStrike">
                <a:solidFill>
                  <a:srgbClr val="595959"/>
                </a:solidFill>
                <a:latin typeface="Calibri"/>
              </a:defRPr>
            </a:pPr>
          </a:p>
        </c:txPr>
        <c:crossAx val="5506806"/>
        <c:crosses val="autoZero"/>
        <c:auto val="1"/>
        <c:lblAlgn val="ctr"/>
        <c:lblOffset val="100"/>
        <c:noMultiLvlLbl val="0"/>
      </c:catAx>
      <c:valAx>
        <c:axId val="5506806"/>
        <c:scaling>
          <c:orientation val="minMax"/>
          <c:max val="100"/>
        </c:scaling>
        <c:delete val="1"/>
        <c:axPos val="l"/>
        <c:majorGridlines>
          <c:spPr>
            <a:ln w="9360">
              <a:solidFill>
                <a:srgbClr val="d9d9d9"/>
              </a:solidFill>
              <a:round/>
            </a:ln>
          </c:spPr>
        </c:majorGridlines>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8051083"/>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
</Relationships>
</file>

<file path=xl/drawings/_rels/drawing3.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
</Relationships>
</file>

<file path=xl/drawings/_rels/drawing4.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
</Relationships>
</file>

<file path=xl/drawings/_rels/drawing6.xml.rels><?xml version="1.0" encoding="UTF-8"?>
<Relationships xmlns="http://schemas.openxmlformats.org/package/2006/relationships"><Relationship Id="rId1" Type="http://schemas.openxmlformats.org/officeDocument/2006/relationships/chart" Target="../charts/chart15.xml"/>
</Relationships>
</file>

<file path=xl/drawings/_rels/drawing7.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
</Relationships>
</file>

<file path=xl/drawings/_rels/drawing8.xml.rels><?xml version="1.0" encoding="UTF-8"?>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
</Relationships>
</file>

<file path=xl/drawings/_rels/drawing9.xml.rels><?xml version="1.0" encoding="UTF-8"?>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 Id="rId3" Type="http://schemas.openxmlformats.org/officeDocument/2006/relationships/chart" Target="../charts/chart24.xml"/>
</Relationships>
</file>

<file path=xl/drawings/_rels/drawing10.xml.rels><?xml version="1.0" encoding="UTF-8"?>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
</Relationships>
</file>

<file path=xl/drawings/_rels/drawing11.xml.rels><?xml version="1.0" encoding="UTF-8"?>
<Relationships xmlns="http://schemas.openxmlformats.org/package/2006/relationships"><Relationship Id="rId1" Type="http://schemas.openxmlformats.org/officeDocument/2006/relationships/chart" Target="../charts/chart28.xml"/><Relationship Id="rId2" Type="http://schemas.openxmlformats.org/officeDocument/2006/relationships/chart" Target="../charts/chart29.xml"/><Relationship Id="rId3" Type="http://schemas.openxmlformats.org/officeDocument/2006/relationships/chart" Target="../charts/chart30.xml"/>
</Relationships>
</file>

<file path=xl/drawings/_rels/drawing12.xml.rels><?xml version="1.0" encoding="UTF-8"?>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chart" Target="../charts/chart33.xml"/>
</Relationships>
</file>

<file path=xl/drawings/_rels/drawing13.xml.rels><?xml version="1.0" encoding="UTF-8"?>
<Relationships xmlns="http://schemas.openxmlformats.org/package/2006/relationships"><Relationship Id="rId1" Type="http://schemas.openxmlformats.org/officeDocument/2006/relationships/chart" Target="../charts/chart34.xml"/>
</Relationships>
</file>

<file path=xl/drawings/_rels/drawing14.xml.rels><?xml version="1.0" encoding="UTF-8"?>
<Relationships xmlns="http://schemas.openxmlformats.org/package/2006/relationships"><Relationship Id="rId1" Type="http://schemas.openxmlformats.org/officeDocument/2006/relationships/chart" Target="../charts/chart35.xml"/><Relationship Id="rId2" Type="http://schemas.openxmlformats.org/officeDocument/2006/relationships/chart" Target="../charts/chart36.xml"/><Relationship Id="rId3" Type="http://schemas.openxmlformats.org/officeDocument/2006/relationships/chart" Target="../charts/chart37.xml"/><Relationship Id="rId4" Type="http://schemas.openxmlformats.org/officeDocument/2006/relationships/chart" Target="../charts/chart38.xml"/><Relationship Id="rId5" Type="http://schemas.openxmlformats.org/officeDocument/2006/relationships/chart" Target="../charts/chart39.xml"/>
</Relationships>
</file>

<file path=xl/drawings/_rels/drawing15.xml.rels><?xml version="1.0" encoding="UTF-8"?>
<Relationships xmlns="http://schemas.openxmlformats.org/package/2006/relationships"><Relationship Id="rId1" Type="http://schemas.openxmlformats.org/officeDocument/2006/relationships/chart" Target="../charts/chart40.xml"/><Relationship Id="rId2" Type="http://schemas.openxmlformats.org/officeDocument/2006/relationships/chart" Target="../charts/chart41.xml"/><Relationship Id="rId3" Type="http://schemas.openxmlformats.org/officeDocument/2006/relationships/chart" Target="../charts/chart42.xml"/><Relationship Id="rId4" Type="http://schemas.openxmlformats.org/officeDocument/2006/relationships/chart" Target="../charts/chart43.xml"/><Relationship Id="rId5" Type="http://schemas.openxmlformats.org/officeDocument/2006/relationships/chart" Target="../charts/chart44.xml"/><Relationship Id="rId6" Type="http://schemas.openxmlformats.org/officeDocument/2006/relationships/chart" Target="../charts/chart45.xml"/><Relationship Id="rId7" Type="http://schemas.openxmlformats.org/officeDocument/2006/relationships/chart" Target="../charts/chart4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33120</xdr:colOff>
      <xdr:row>10</xdr:row>
      <xdr:rowOff>52560</xdr:rowOff>
    </xdr:from>
    <xdr:to>
      <xdr:col>6</xdr:col>
      <xdr:colOff>155160</xdr:colOff>
      <xdr:row>15</xdr:row>
      <xdr:rowOff>608040</xdr:rowOff>
    </xdr:to>
    <xdr:graphicFrame>
      <xdr:nvGraphicFramePr>
        <xdr:cNvPr id="0" name="Chart 1"/>
        <xdr:cNvGraphicFramePr/>
      </xdr:nvGraphicFramePr>
      <xdr:xfrm>
        <a:off x="33120" y="2633760"/>
        <a:ext cx="4562640" cy="4327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115200</xdr:colOff>
      <xdr:row>19</xdr:row>
      <xdr:rowOff>9720</xdr:rowOff>
    </xdr:from>
    <xdr:to>
      <xdr:col>8</xdr:col>
      <xdr:colOff>1236600</xdr:colOff>
      <xdr:row>60</xdr:row>
      <xdr:rowOff>185040</xdr:rowOff>
    </xdr:to>
    <xdr:graphicFrame>
      <xdr:nvGraphicFramePr>
        <xdr:cNvPr id="1" name="Chart 2"/>
        <xdr:cNvGraphicFramePr/>
      </xdr:nvGraphicFramePr>
      <xdr:xfrm>
        <a:off x="2793600" y="7991640"/>
        <a:ext cx="3970800" cy="8671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89640</xdr:colOff>
      <xdr:row>19</xdr:row>
      <xdr:rowOff>33120</xdr:rowOff>
    </xdr:from>
    <xdr:to>
      <xdr:col>18</xdr:col>
      <xdr:colOff>528840</xdr:colOff>
      <xdr:row>49</xdr:row>
      <xdr:rowOff>154080</xdr:rowOff>
    </xdr:to>
    <xdr:graphicFrame>
      <xdr:nvGraphicFramePr>
        <xdr:cNvPr id="2" name="Chart 3"/>
        <xdr:cNvGraphicFramePr/>
      </xdr:nvGraphicFramePr>
      <xdr:xfrm>
        <a:off x="6936120" y="8015040"/>
        <a:ext cx="6400080" cy="6521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115920</xdr:colOff>
      <xdr:row>4</xdr:row>
      <xdr:rowOff>4680</xdr:rowOff>
    </xdr:from>
    <xdr:to>
      <xdr:col>18</xdr:col>
      <xdr:colOff>410400</xdr:colOff>
      <xdr:row>15</xdr:row>
      <xdr:rowOff>589320</xdr:rowOff>
    </xdr:to>
    <xdr:graphicFrame>
      <xdr:nvGraphicFramePr>
        <xdr:cNvPr id="3" name="Chart 4"/>
        <xdr:cNvGraphicFramePr/>
      </xdr:nvGraphicFramePr>
      <xdr:xfrm>
        <a:off x="6962400" y="966600"/>
        <a:ext cx="6255360" cy="59760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92520</xdr:colOff>
      <xdr:row>18</xdr:row>
      <xdr:rowOff>158760</xdr:rowOff>
    </xdr:from>
    <xdr:to>
      <xdr:col>6</xdr:col>
      <xdr:colOff>700560</xdr:colOff>
      <xdr:row>24</xdr:row>
      <xdr:rowOff>2142720</xdr:rowOff>
    </xdr:to>
    <xdr:graphicFrame>
      <xdr:nvGraphicFramePr>
        <xdr:cNvPr id="4" name="Chart 1"/>
        <xdr:cNvGraphicFramePr/>
      </xdr:nvGraphicFramePr>
      <xdr:xfrm>
        <a:off x="92520" y="4664160"/>
        <a:ext cx="5279760" cy="4612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106560</xdr:colOff>
      <xdr:row>28</xdr:row>
      <xdr:rowOff>73800</xdr:rowOff>
    </xdr:from>
    <xdr:to>
      <xdr:col>6</xdr:col>
      <xdr:colOff>1209960</xdr:colOff>
      <xdr:row>67</xdr:row>
      <xdr:rowOff>151560</xdr:rowOff>
    </xdr:to>
    <xdr:graphicFrame>
      <xdr:nvGraphicFramePr>
        <xdr:cNvPr id="5" name="Chart 2"/>
        <xdr:cNvGraphicFramePr/>
      </xdr:nvGraphicFramePr>
      <xdr:xfrm>
        <a:off x="3106800" y="10398960"/>
        <a:ext cx="2774880" cy="8031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198360</xdr:colOff>
      <xdr:row>28</xdr:row>
      <xdr:rowOff>132120</xdr:rowOff>
    </xdr:from>
    <xdr:to>
      <xdr:col>18</xdr:col>
      <xdr:colOff>5400</xdr:colOff>
      <xdr:row>68</xdr:row>
      <xdr:rowOff>31320</xdr:rowOff>
    </xdr:to>
    <xdr:graphicFrame>
      <xdr:nvGraphicFramePr>
        <xdr:cNvPr id="6" name="Chart 3"/>
        <xdr:cNvGraphicFramePr/>
      </xdr:nvGraphicFramePr>
      <xdr:xfrm>
        <a:off x="6944040" y="10457280"/>
        <a:ext cx="6049080" cy="8043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157680</xdr:colOff>
      <xdr:row>4</xdr:row>
      <xdr:rowOff>120600</xdr:rowOff>
    </xdr:from>
    <xdr:to>
      <xdr:col>18</xdr:col>
      <xdr:colOff>80280</xdr:colOff>
      <xdr:row>24</xdr:row>
      <xdr:rowOff>859320</xdr:rowOff>
    </xdr:to>
    <xdr:graphicFrame>
      <xdr:nvGraphicFramePr>
        <xdr:cNvPr id="7" name="Chart 4"/>
        <xdr:cNvGraphicFramePr/>
      </xdr:nvGraphicFramePr>
      <xdr:xfrm>
        <a:off x="6903360" y="1092240"/>
        <a:ext cx="6164640" cy="6901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38520</xdr:colOff>
      <xdr:row>31</xdr:row>
      <xdr:rowOff>109800</xdr:rowOff>
    </xdr:from>
    <xdr:to>
      <xdr:col>10</xdr:col>
      <xdr:colOff>722160</xdr:colOff>
      <xdr:row>74</xdr:row>
      <xdr:rowOff>7560</xdr:rowOff>
    </xdr:to>
    <xdr:graphicFrame>
      <xdr:nvGraphicFramePr>
        <xdr:cNvPr id="8" name="Chart 1"/>
        <xdr:cNvGraphicFramePr/>
      </xdr:nvGraphicFramePr>
      <xdr:xfrm>
        <a:off x="2716920" y="7329600"/>
        <a:ext cx="3985560" cy="8556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123120</xdr:colOff>
      <xdr:row>31</xdr:row>
      <xdr:rowOff>88560</xdr:rowOff>
    </xdr:from>
    <xdr:to>
      <xdr:col>20</xdr:col>
      <xdr:colOff>390960</xdr:colOff>
      <xdr:row>74</xdr:row>
      <xdr:rowOff>23400</xdr:rowOff>
    </xdr:to>
    <xdr:graphicFrame>
      <xdr:nvGraphicFramePr>
        <xdr:cNvPr id="9" name="Chart 2"/>
        <xdr:cNvGraphicFramePr/>
      </xdr:nvGraphicFramePr>
      <xdr:xfrm>
        <a:off x="6969600" y="7308360"/>
        <a:ext cx="5885640" cy="859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131040</xdr:colOff>
      <xdr:row>3</xdr:row>
      <xdr:rowOff>136440</xdr:rowOff>
    </xdr:from>
    <xdr:to>
      <xdr:col>21</xdr:col>
      <xdr:colOff>174240</xdr:colOff>
      <xdr:row>27</xdr:row>
      <xdr:rowOff>118440</xdr:rowOff>
    </xdr:to>
    <xdr:graphicFrame>
      <xdr:nvGraphicFramePr>
        <xdr:cNvPr id="10" name="Chart 3"/>
        <xdr:cNvGraphicFramePr/>
      </xdr:nvGraphicFramePr>
      <xdr:xfrm>
        <a:off x="6977520" y="1050840"/>
        <a:ext cx="6285240" cy="54399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167400</xdr:colOff>
      <xdr:row>3</xdr:row>
      <xdr:rowOff>175320</xdr:rowOff>
    </xdr:from>
    <xdr:to>
      <xdr:col>20</xdr:col>
      <xdr:colOff>423000</xdr:colOff>
      <xdr:row>25</xdr:row>
      <xdr:rowOff>104400</xdr:rowOff>
    </xdr:to>
    <xdr:graphicFrame>
      <xdr:nvGraphicFramePr>
        <xdr:cNvPr id="11" name="Chart 1"/>
        <xdr:cNvGraphicFramePr/>
      </xdr:nvGraphicFramePr>
      <xdr:xfrm>
        <a:off x="7063560" y="1032480"/>
        <a:ext cx="6497640" cy="818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127080</xdr:colOff>
      <xdr:row>28</xdr:row>
      <xdr:rowOff>13320</xdr:rowOff>
    </xdr:from>
    <xdr:to>
      <xdr:col>9</xdr:col>
      <xdr:colOff>818280</xdr:colOff>
      <xdr:row>68</xdr:row>
      <xdr:rowOff>69480</xdr:rowOff>
    </xdr:to>
    <xdr:graphicFrame>
      <xdr:nvGraphicFramePr>
        <xdr:cNvPr id="12" name="Chart 2"/>
        <xdr:cNvGraphicFramePr/>
      </xdr:nvGraphicFramePr>
      <xdr:xfrm>
        <a:off x="2743920" y="9729000"/>
        <a:ext cx="3903120" cy="8333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117000</xdr:colOff>
      <xdr:row>28</xdr:row>
      <xdr:rowOff>27360</xdr:rowOff>
    </xdr:from>
    <xdr:to>
      <xdr:col>20</xdr:col>
      <xdr:colOff>373320</xdr:colOff>
      <xdr:row>69</xdr:row>
      <xdr:rowOff>133560</xdr:rowOff>
    </xdr:to>
    <xdr:graphicFrame>
      <xdr:nvGraphicFramePr>
        <xdr:cNvPr id="13" name="Chart 3"/>
        <xdr:cNvGraphicFramePr/>
      </xdr:nvGraphicFramePr>
      <xdr:xfrm>
        <a:off x="7013160" y="9743040"/>
        <a:ext cx="6498360" cy="857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0</xdr:colOff>
      <xdr:row>0</xdr:row>
      <xdr:rowOff>0</xdr:rowOff>
    </xdr:to>
    <xdr:graphicFrame>
      <xdr:nvGraphicFramePr>
        <xdr:cNvPr id="1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124200</xdr:colOff>
      <xdr:row>9</xdr:row>
      <xdr:rowOff>90720</xdr:rowOff>
    </xdr:from>
    <xdr:to>
      <xdr:col>5</xdr:col>
      <xdr:colOff>525960</xdr:colOff>
      <xdr:row>22</xdr:row>
      <xdr:rowOff>1329840</xdr:rowOff>
    </xdr:to>
    <xdr:graphicFrame>
      <xdr:nvGraphicFramePr>
        <xdr:cNvPr id="15" name="Chart 1"/>
        <xdr:cNvGraphicFramePr/>
      </xdr:nvGraphicFramePr>
      <xdr:xfrm>
        <a:off x="124200" y="2281320"/>
        <a:ext cx="5052960" cy="4820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127080</xdr:colOff>
      <xdr:row>27</xdr:row>
      <xdr:rowOff>14400</xdr:rowOff>
    </xdr:from>
    <xdr:to>
      <xdr:col>5</xdr:col>
      <xdr:colOff>1650600</xdr:colOff>
      <xdr:row>66</xdr:row>
      <xdr:rowOff>136800</xdr:rowOff>
    </xdr:to>
    <xdr:graphicFrame>
      <xdr:nvGraphicFramePr>
        <xdr:cNvPr id="16" name="Chart 2"/>
        <xdr:cNvGraphicFramePr/>
      </xdr:nvGraphicFramePr>
      <xdr:xfrm>
        <a:off x="3258360" y="8167680"/>
        <a:ext cx="3043440" cy="8075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95400</xdr:colOff>
      <xdr:row>27</xdr:row>
      <xdr:rowOff>14760</xdr:rowOff>
    </xdr:from>
    <xdr:to>
      <xdr:col>13</xdr:col>
      <xdr:colOff>398880</xdr:colOff>
      <xdr:row>66</xdr:row>
      <xdr:rowOff>137160</xdr:rowOff>
    </xdr:to>
    <xdr:graphicFrame>
      <xdr:nvGraphicFramePr>
        <xdr:cNvPr id="17" name="Chart 3"/>
        <xdr:cNvGraphicFramePr/>
      </xdr:nvGraphicFramePr>
      <xdr:xfrm>
        <a:off x="6488640" y="8168040"/>
        <a:ext cx="6012000" cy="80758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82440</xdr:colOff>
      <xdr:row>9</xdr:row>
      <xdr:rowOff>127080</xdr:rowOff>
    </xdr:from>
    <xdr:to>
      <xdr:col>4</xdr:col>
      <xdr:colOff>1792440</xdr:colOff>
      <xdr:row>21</xdr:row>
      <xdr:rowOff>37800</xdr:rowOff>
    </xdr:to>
    <xdr:graphicFrame>
      <xdr:nvGraphicFramePr>
        <xdr:cNvPr id="18" name="Chart 1"/>
        <xdr:cNvGraphicFramePr/>
      </xdr:nvGraphicFramePr>
      <xdr:xfrm>
        <a:off x="82440" y="2165400"/>
        <a:ext cx="4368240" cy="4368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230760</xdr:colOff>
      <xdr:row>27</xdr:row>
      <xdr:rowOff>2880</xdr:rowOff>
    </xdr:from>
    <xdr:to>
      <xdr:col>6</xdr:col>
      <xdr:colOff>615960</xdr:colOff>
      <xdr:row>66</xdr:row>
      <xdr:rowOff>2520</xdr:rowOff>
    </xdr:to>
    <xdr:graphicFrame>
      <xdr:nvGraphicFramePr>
        <xdr:cNvPr id="19" name="Chart 2"/>
        <xdr:cNvGraphicFramePr/>
      </xdr:nvGraphicFramePr>
      <xdr:xfrm>
        <a:off x="2889000" y="7565760"/>
        <a:ext cx="4352040" cy="8029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864360</xdr:colOff>
      <xdr:row>27</xdr:row>
      <xdr:rowOff>36360</xdr:rowOff>
    </xdr:from>
    <xdr:to>
      <xdr:col>15</xdr:col>
      <xdr:colOff>665640</xdr:colOff>
      <xdr:row>66</xdr:row>
      <xdr:rowOff>36000</xdr:rowOff>
    </xdr:to>
    <xdr:graphicFrame>
      <xdr:nvGraphicFramePr>
        <xdr:cNvPr id="20" name="Chart 3"/>
        <xdr:cNvGraphicFramePr/>
      </xdr:nvGraphicFramePr>
      <xdr:xfrm>
        <a:off x="7489440" y="7599240"/>
        <a:ext cx="5740920" cy="80290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115560</xdr:colOff>
      <xdr:row>14</xdr:row>
      <xdr:rowOff>11160</xdr:rowOff>
    </xdr:from>
    <xdr:to>
      <xdr:col>5</xdr:col>
      <xdr:colOff>362520</xdr:colOff>
      <xdr:row>25</xdr:row>
      <xdr:rowOff>1541520</xdr:rowOff>
    </xdr:to>
    <xdr:graphicFrame>
      <xdr:nvGraphicFramePr>
        <xdr:cNvPr id="21" name="Chart 1"/>
        <xdr:cNvGraphicFramePr/>
      </xdr:nvGraphicFramePr>
      <xdr:xfrm>
        <a:off x="115560" y="2954520"/>
        <a:ext cx="5210640" cy="3654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98640</xdr:colOff>
      <xdr:row>29</xdr:row>
      <xdr:rowOff>11520</xdr:rowOff>
    </xdr:from>
    <xdr:to>
      <xdr:col>5</xdr:col>
      <xdr:colOff>1288800</xdr:colOff>
      <xdr:row>71</xdr:row>
      <xdr:rowOff>33840</xdr:rowOff>
    </xdr:to>
    <xdr:graphicFrame>
      <xdr:nvGraphicFramePr>
        <xdr:cNvPr id="22" name="Chart 2"/>
        <xdr:cNvGraphicFramePr/>
      </xdr:nvGraphicFramePr>
      <xdr:xfrm>
        <a:off x="3028680" y="8222040"/>
        <a:ext cx="3223800" cy="854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129240</xdr:colOff>
      <xdr:row>29</xdr:row>
      <xdr:rowOff>31320</xdr:rowOff>
    </xdr:from>
    <xdr:to>
      <xdr:col>15</xdr:col>
      <xdr:colOff>453240</xdr:colOff>
      <xdr:row>70</xdr:row>
      <xdr:rowOff>158400</xdr:rowOff>
    </xdr:to>
    <xdr:graphicFrame>
      <xdr:nvGraphicFramePr>
        <xdr:cNvPr id="23" name="Chart 3"/>
        <xdr:cNvGraphicFramePr/>
      </xdr:nvGraphicFramePr>
      <xdr:xfrm>
        <a:off x="6593400" y="8241840"/>
        <a:ext cx="6555960" cy="8461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36720</xdr:colOff>
      <xdr:row>8</xdr:row>
      <xdr:rowOff>132120</xdr:rowOff>
    </xdr:from>
    <xdr:to>
      <xdr:col>4</xdr:col>
      <xdr:colOff>1600560</xdr:colOff>
      <xdr:row>24</xdr:row>
      <xdr:rowOff>133560</xdr:rowOff>
    </xdr:to>
    <xdr:graphicFrame>
      <xdr:nvGraphicFramePr>
        <xdr:cNvPr id="24" name="Chart 1"/>
        <xdr:cNvGraphicFramePr/>
      </xdr:nvGraphicFramePr>
      <xdr:xfrm>
        <a:off x="36720" y="2056320"/>
        <a:ext cx="4463280" cy="517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117360</xdr:colOff>
      <xdr:row>29</xdr:row>
      <xdr:rowOff>12600</xdr:rowOff>
    </xdr:from>
    <xdr:to>
      <xdr:col>5</xdr:col>
      <xdr:colOff>1779480</xdr:colOff>
      <xdr:row>67</xdr:row>
      <xdr:rowOff>145440</xdr:rowOff>
    </xdr:to>
    <xdr:graphicFrame>
      <xdr:nvGraphicFramePr>
        <xdr:cNvPr id="25" name="Chart 2"/>
        <xdr:cNvGraphicFramePr/>
      </xdr:nvGraphicFramePr>
      <xdr:xfrm>
        <a:off x="3016800" y="8013600"/>
        <a:ext cx="3696120" cy="7905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89640</xdr:colOff>
      <xdr:row>29</xdr:row>
      <xdr:rowOff>28440</xdr:rowOff>
    </xdr:from>
    <xdr:to>
      <xdr:col>14</xdr:col>
      <xdr:colOff>495000</xdr:colOff>
      <xdr:row>67</xdr:row>
      <xdr:rowOff>176760</xdr:rowOff>
    </xdr:to>
    <xdr:graphicFrame>
      <xdr:nvGraphicFramePr>
        <xdr:cNvPr id="26" name="Chart 3"/>
        <xdr:cNvGraphicFramePr/>
      </xdr:nvGraphicFramePr>
      <xdr:xfrm>
        <a:off x="6895440" y="8029440"/>
        <a:ext cx="6013080" cy="79207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66600</xdr:colOff>
      <xdr:row>9</xdr:row>
      <xdr:rowOff>131040</xdr:rowOff>
    </xdr:from>
    <xdr:to>
      <xdr:col>5</xdr:col>
      <xdr:colOff>907560</xdr:colOff>
      <xdr:row>17</xdr:row>
      <xdr:rowOff>214560</xdr:rowOff>
    </xdr:to>
    <xdr:graphicFrame>
      <xdr:nvGraphicFramePr>
        <xdr:cNvPr id="27" name="Chart 1"/>
        <xdr:cNvGraphicFramePr/>
      </xdr:nvGraphicFramePr>
      <xdr:xfrm>
        <a:off x="66600" y="2521800"/>
        <a:ext cx="5925240" cy="421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86400</xdr:colOff>
      <xdr:row>25</xdr:row>
      <xdr:rowOff>34200</xdr:rowOff>
    </xdr:from>
    <xdr:to>
      <xdr:col>5</xdr:col>
      <xdr:colOff>1650600</xdr:colOff>
      <xdr:row>63</xdr:row>
      <xdr:rowOff>30240</xdr:rowOff>
    </xdr:to>
    <xdr:graphicFrame>
      <xdr:nvGraphicFramePr>
        <xdr:cNvPr id="28" name="Chart 2"/>
        <xdr:cNvGraphicFramePr/>
      </xdr:nvGraphicFramePr>
      <xdr:xfrm>
        <a:off x="3137040" y="8987760"/>
        <a:ext cx="3597840" cy="7920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124560</xdr:colOff>
      <xdr:row>25</xdr:row>
      <xdr:rowOff>68400</xdr:rowOff>
    </xdr:from>
    <xdr:to>
      <xdr:col>15</xdr:col>
      <xdr:colOff>419760</xdr:colOff>
      <xdr:row>63</xdr:row>
      <xdr:rowOff>68040</xdr:rowOff>
    </xdr:to>
    <xdr:graphicFrame>
      <xdr:nvGraphicFramePr>
        <xdr:cNvPr id="29" name="Chart 3"/>
        <xdr:cNvGraphicFramePr/>
      </xdr:nvGraphicFramePr>
      <xdr:xfrm>
        <a:off x="6981120" y="9021960"/>
        <a:ext cx="6527160" cy="7924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97560</xdr:colOff>
      <xdr:row>8</xdr:row>
      <xdr:rowOff>171360</xdr:rowOff>
    </xdr:from>
    <xdr:to>
      <xdr:col>5</xdr:col>
      <xdr:colOff>538920</xdr:colOff>
      <xdr:row>11</xdr:row>
      <xdr:rowOff>2168280</xdr:rowOff>
    </xdr:to>
    <xdr:graphicFrame>
      <xdr:nvGraphicFramePr>
        <xdr:cNvPr id="30" name="Chart 1"/>
        <xdr:cNvGraphicFramePr/>
      </xdr:nvGraphicFramePr>
      <xdr:xfrm>
        <a:off x="97560" y="2181240"/>
        <a:ext cx="5344920" cy="3911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192240</xdr:colOff>
      <xdr:row>19</xdr:row>
      <xdr:rowOff>25560</xdr:rowOff>
    </xdr:from>
    <xdr:to>
      <xdr:col>5</xdr:col>
      <xdr:colOff>1832760</xdr:colOff>
      <xdr:row>57</xdr:row>
      <xdr:rowOff>51840</xdr:rowOff>
    </xdr:to>
    <xdr:graphicFrame>
      <xdr:nvGraphicFramePr>
        <xdr:cNvPr id="31" name="Chart 2"/>
        <xdr:cNvGraphicFramePr/>
      </xdr:nvGraphicFramePr>
      <xdr:xfrm>
        <a:off x="3061800" y="8093160"/>
        <a:ext cx="3674520" cy="7875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147240</xdr:colOff>
      <xdr:row>19</xdr:row>
      <xdr:rowOff>102960</xdr:rowOff>
    </xdr:from>
    <xdr:to>
      <xdr:col>14</xdr:col>
      <xdr:colOff>564120</xdr:colOff>
      <xdr:row>57</xdr:row>
      <xdr:rowOff>129240</xdr:rowOff>
    </xdr:to>
    <xdr:graphicFrame>
      <xdr:nvGraphicFramePr>
        <xdr:cNvPr id="32" name="Chart 3"/>
        <xdr:cNvGraphicFramePr/>
      </xdr:nvGraphicFramePr>
      <xdr:xfrm>
        <a:off x="7003800" y="8170560"/>
        <a:ext cx="6024600" cy="7875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0</xdr:colOff>
      <xdr:row>0</xdr:row>
      <xdr:rowOff>0</xdr:rowOff>
    </xdr:to>
    <xdr:graphicFrame>
      <xdr:nvGraphicFramePr>
        <xdr:cNvPr id="3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212760</xdr:colOff>
      <xdr:row>0</xdr:row>
      <xdr:rowOff>151200</xdr:rowOff>
    </xdr:from>
    <xdr:to>
      <xdr:col>8</xdr:col>
      <xdr:colOff>360000</xdr:colOff>
      <xdr:row>29</xdr:row>
      <xdr:rowOff>95760</xdr:rowOff>
    </xdr:to>
    <xdr:graphicFrame>
      <xdr:nvGraphicFramePr>
        <xdr:cNvPr id="34" name="Chart 1"/>
        <xdr:cNvGraphicFramePr/>
      </xdr:nvGraphicFramePr>
      <xdr:xfrm>
        <a:off x="212760" y="151200"/>
        <a:ext cx="5140800" cy="5469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521280</xdr:colOff>
      <xdr:row>0</xdr:row>
      <xdr:rowOff>119160</xdr:rowOff>
    </xdr:from>
    <xdr:to>
      <xdr:col>16</xdr:col>
      <xdr:colOff>410400</xdr:colOff>
      <xdr:row>29</xdr:row>
      <xdr:rowOff>77400</xdr:rowOff>
    </xdr:to>
    <xdr:graphicFrame>
      <xdr:nvGraphicFramePr>
        <xdr:cNvPr id="35" name="Chart 2"/>
        <xdr:cNvGraphicFramePr/>
      </xdr:nvGraphicFramePr>
      <xdr:xfrm>
        <a:off x="5514840" y="119160"/>
        <a:ext cx="4882680" cy="5482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197640</xdr:colOff>
      <xdr:row>30</xdr:row>
      <xdr:rowOff>38160</xdr:rowOff>
    </xdr:from>
    <xdr:to>
      <xdr:col>8</xdr:col>
      <xdr:colOff>308520</xdr:colOff>
      <xdr:row>60</xdr:row>
      <xdr:rowOff>42120</xdr:rowOff>
    </xdr:to>
    <xdr:graphicFrame>
      <xdr:nvGraphicFramePr>
        <xdr:cNvPr id="36" name="Chart 3"/>
        <xdr:cNvGraphicFramePr/>
      </xdr:nvGraphicFramePr>
      <xdr:xfrm>
        <a:off x="197640" y="5753160"/>
        <a:ext cx="5104440" cy="57189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445680</xdr:colOff>
      <xdr:row>30</xdr:row>
      <xdr:rowOff>28440</xdr:rowOff>
    </xdr:from>
    <xdr:to>
      <xdr:col>16</xdr:col>
      <xdr:colOff>407160</xdr:colOff>
      <xdr:row>60</xdr:row>
      <xdr:rowOff>42840</xdr:rowOff>
    </xdr:to>
    <xdr:graphicFrame>
      <xdr:nvGraphicFramePr>
        <xdr:cNvPr id="37" name="Chart 4"/>
        <xdr:cNvGraphicFramePr/>
      </xdr:nvGraphicFramePr>
      <xdr:xfrm>
        <a:off x="5439240" y="5743440"/>
        <a:ext cx="4955040" cy="5729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520200</xdr:colOff>
      <xdr:row>0</xdr:row>
      <xdr:rowOff>105840</xdr:rowOff>
    </xdr:from>
    <xdr:to>
      <xdr:col>38</xdr:col>
      <xdr:colOff>480600</xdr:colOff>
      <xdr:row>60</xdr:row>
      <xdr:rowOff>126720</xdr:rowOff>
    </xdr:to>
    <xdr:graphicFrame>
      <xdr:nvGraphicFramePr>
        <xdr:cNvPr id="38" name="Chart 5"/>
        <xdr:cNvGraphicFramePr/>
      </xdr:nvGraphicFramePr>
      <xdr:xfrm>
        <a:off x="10507320" y="105840"/>
        <a:ext cx="13692960" cy="114508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254160</xdr:colOff>
      <xdr:row>1</xdr:row>
      <xdr:rowOff>54360</xdr:rowOff>
    </xdr:from>
    <xdr:to>
      <xdr:col>9</xdr:col>
      <xdr:colOff>604440</xdr:colOff>
      <xdr:row>41</xdr:row>
      <xdr:rowOff>150120</xdr:rowOff>
    </xdr:to>
    <xdr:graphicFrame>
      <xdr:nvGraphicFramePr>
        <xdr:cNvPr id="39" name="Chart 2"/>
        <xdr:cNvGraphicFramePr/>
      </xdr:nvGraphicFramePr>
      <xdr:xfrm>
        <a:off x="254160" y="244800"/>
        <a:ext cx="5968080" cy="7715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199440</xdr:colOff>
      <xdr:row>1</xdr:row>
      <xdr:rowOff>54360</xdr:rowOff>
    </xdr:from>
    <xdr:to>
      <xdr:col>19</xdr:col>
      <xdr:colOff>549720</xdr:colOff>
      <xdr:row>41</xdr:row>
      <xdr:rowOff>150120</xdr:rowOff>
    </xdr:to>
    <xdr:graphicFrame>
      <xdr:nvGraphicFramePr>
        <xdr:cNvPr id="40" name="Chart 3"/>
        <xdr:cNvGraphicFramePr/>
      </xdr:nvGraphicFramePr>
      <xdr:xfrm>
        <a:off x="6441480" y="244800"/>
        <a:ext cx="5968080" cy="7715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254160</xdr:colOff>
      <xdr:row>42</xdr:row>
      <xdr:rowOff>36360</xdr:rowOff>
    </xdr:from>
    <xdr:to>
      <xdr:col>9</xdr:col>
      <xdr:colOff>604440</xdr:colOff>
      <xdr:row>83</xdr:row>
      <xdr:rowOff>65160</xdr:rowOff>
    </xdr:to>
    <xdr:graphicFrame>
      <xdr:nvGraphicFramePr>
        <xdr:cNvPr id="41" name="Chart 4"/>
        <xdr:cNvGraphicFramePr/>
      </xdr:nvGraphicFramePr>
      <xdr:xfrm>
        <a:off x="254160" y="8037360"/>
        <a:ext cx="5968080" cy="7839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217800</xdr:colOff>
      <xdr:row>42</xdr:row>
      <xdr:rowOff>54360</xdr:rowOff>
    </xdr:from>
    <xdr:to>
      <xdr:col>19</xdr:col>
      <xdr:colOff>568080</xdr:colOff>
      <xdr:row>82</xdr:row>
      <xdr:rowOff>150120</xdr:rowOff>
    </xdr:to>
    <xdr:graphicFrame>
      <xdr:nvGraphicFramePr>
        <xdr:cNvPr id="42" name="Chart 5"/>
        <xdr:cNvGraphicFramePr/>
      </xdr:nvGraphicFramePr>
      <xdr:xfrm>
        <a:off x="6459840" y="8055360"/>
        <a:ext cx="5968080" cy="77158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272160</xdr:colOff>
      <xdr:row>84</xdr:row>
      <xdr:rowOff>36360</xdr:rowOff>
    </xdr:from>
    <xdr:to>
      <xdr:col>10</xdr:col>
      <xdr:colOff>5400</xdr:colOff>
      <xdr:row>124</xdr:row>
      <xdr:rowOff>132120</xdr:rowOff>
    </xdr:to>
    <xdr:graphicFrame>
      <xdr:nvGraphicFramePr>
        <xdr:cNvPr id="43" name="Chart 6"/>
        <xdr:cNvGraphicFramePr/>
      </xdr:nvGraphicFramePr>
      <xdr:xfrm>
        <a:off x="272160" y="16038360"/>
        <a:ext cx="5975280" cy="77158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235800</xdr:colOff>
      <xdr:row>84</xdr:row>
      <xdr:rowOff>36360</xdr:rowOff>
    </xdr:from>
    <xdr:to>
      <xdr:col>19</xdr:col>
      <xdr:colOff>586080</xdr:colOff>
      <xdr:row>124</xdr:row>
      <xdr:rowOff>132120</xdr:rowOff>
    </xdr:to>
    <xdr:graphicFrame>
      <xdr:nvGraphicFramePr>
        <xdr:cNvPr id="44" name="Chart 7"/>
        <xdr:cNvGraphicFramePr/>
      </xdr:nvGraphicFramePr>
      <xdr:xfrm>
        <a:off x="6477840" y="16038360"/>
        <a:ext cx="5968080" cy="77158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410040</xdr:colOff>
      <xdr:row>1</xdr:row>
      <xdr:rowOff>52560</xdr:rowOff>
    </xdr:from>
    <xdr:to>
      <xdr:col>40</xdr:col>
      <xdr:colOff>164520</xdr:colOff>
      <xdr:row>125</xdr:row>
      <xdr:rowOff>38520</xdr:rowOff>
    </xdr:to>
    <xdr:graphicFrame>
      <xdr:nvGraphicFramePr>
        <xdr:cNvPr id="45" name="Chart 1"/>
        <xdr:cNvGraphicFramePr/>
      </xdr:nvGraphicFramePr>
      <xdr:xfrm>
        <a:off x="12269880" y="243000"/>
        <a:ext cx="12862800" cy="236080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10%20TIP%20Prioritiser.xlsm"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20%20Cascade%20Prioritiser.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RICS5"/>
      <sheetName val="Change Log"/>
      <sheetName val="Intro"/>
      <sheetName val="Logic"/>
      <sheetName val="1A - Trigger Events"/>
      <sheetName val="Chart1"/>
      <sheetName val="1B - Business Priorities"/>
      <sheetName val="Chart2"/>
      <sheetName val="1C - IT Priorities for IT"/>
      <sheetName val="Chart3"/>
      <sheetName val="1D -IT Issues"/>
      <sheetName val="Chart4"/>
      <sheetName val="Chart5"/>
      <sheetName val="Chart 1D.3"/>
      <sheetName val="Chart6"/>
      <sheetName val="2 - EG Ranking"/>
      <sheetName val="Chart7"/>
      <sheetName val="Chart8"/>
      <sheetName val="3 - ITG Ranking"/>
      <sheetName val="Chart9"/>
      <sheetName val="Chart10"/>
      <sheetName val="4A - Enablers Priority Process"/>
      <sheetName val="Chart11"/>
      <sheetName val="Chart12"/>
      <sheetName val="Chart13"/>
      <sheetName val="4B - Enablers Priority Org Str"/>
      <sheetName val="Chart14"/>
      <sheetName val="Chart15"/>
      <sheetName val="Chart16"/>
      <sheetName val="CALC A"/>
      <sheetName val="CALC B"/>
      <sheetName val="CALC C"/>
      <sheetName val="CALC D"/>
      <sheetName val="CALC E"/>
      <sheetName val="CALC F"/>
      <sheetName val="PARAM"/>
      <sheetName val="TEST"/>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RICS5"/>
      <sheetName val="Intro"/>
      <sheetName val="1A - Prioritise EG"/>
      <sheetName val="Chart 1A.1"/>
      <sheetName val="1B - Prioritise EG - Voting"/>
      <sheetName val="Chart 1B.1"/>
      <sheetName val="2 - EG Priorities"/>
      <sheetName val="Chart 2.1"/>
      <sheetName val="3 - Confirm ITG"/>
      <sheetName val="Chart 3.1"/>
      <sheetName val="4A - Enablers Priority Process"/>
      <sheetName val="Chart 4A.1"/>
      <sheetName val="Chart 4A.2"/>
      <sheetName val="4B - Enablers Priority Org Str"/>
      <sheetName val="Chart 4B.1"/>
      <sheetName val="Chart 4B.2"/>
      <sheetName val="CALC01"/>
      <sheetName val="PARAM"/>
      <sheetName val="T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6.xml.rels><?xml version="1.0" encoding="UTF-8"?>
<Relationships xmlns="http://schemas.openxmlformats.org/package/2006/relationships"><Relationship Id="rId1" Type="http://schemas.openxmlformats.org/officeDocument/2006/relationships/drawing" Target="../drawings/drawing9.xml"/>
</Relationships>
</file>

<file path=xl/worksheets/_rels/sheet18.xml.rels><?xml version="1.0" encoding="UTF-8"?>
<Relationships xmlns="http://schemas.openxmlformats.org/package/2006/relationships"><Relationship Id="rId1" Type="http://schemas.openxmlformats.org/officeDocument/2006/relationships/drawing" Target="../drawings/drawing10.xml"/>
</Relationships>
</file>

<file path=xl/worksheets/_rels/sheet20.xml.rels><?xml version="1.0" encoding="UTF-8"?>
<Relationships xmlns="http://schemas.openxmlformats.org/package/2006/relationships"><Relationship Id="rId1" Type="http://schemas.openxmlformats.org/officeDocument/2006/relationships/drawing" Target="../drawings/drawing11.xml"/>
</Relationships>
</file>

<file path=xl/worksheets/_rels/sheet22.xml.rels><?xml version="1.0" encoding="UTF-8"?>
<Relationships xmlns="http://schemas.openxmlformats.org/package/2006/relationships"><Relationship Id="rId1" Type="http://schemas.openxmlformats.org/officeDocument/2006/relationships/drawing" Target="../drawings/drawing12.xml"/>
</Relationships>
</file>

<file path=xl/worksheets/_rels/sheet24.xml.rels><?xml version="1.0" encoding="UTF-8"?>
<Relationships xmlns="http://schemas.openxmlformats.org/package/2006/relationships"><Relationship Id="rId1" Type="http://schemas.openxmlformats.org/officeDocument/2006/relationships/drawing" Target="../drawings/drawing13.xml"/>
</Relationships>
</file>

<file path=xl/worksheets/_rels/sheet25.xml.rels><?xml version="1.0" encoding="UTF-8"?>
<Relationships xmlns="http://schemas.openxmlformats.org/package/2006/relationships"><Relationship Id="rId1" Type="http://schemas.openxmlformats.org/officeDocument/2006/relationships/drawing" Target="../drawings/drawing14.xml"/>
</Relationships>
</file>

<file path=xl/worksheets/_rels/sheet26.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D3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24" activePane="bottomLeft" state="frozen"/>
      <selection pane="topLeft" activeCell="A1" activeCellId="0" sqref="A1"/>
      <selection pane="bottomLeft" activeCell="A1" activeCellId="0" sqref="A1"/>
    </sheetView>
  </sheetViews>
  <sheetFormatPr defaultColWidth="8.859375" defaultRowHeight="15" zeroHeight="false" outlineLevelRow="0" outlineLevelCol="0"/>
  <cols>
    <col collapsed="false" customWidth="true" hidden="false" outlineLevel="0" max="1" min="1" style="0" width="8"/>
    <col collapsed="false" customWidth="true" hidden="false" outlineLevel="0" max="2" min="2" style="1" width="15.42"/>
    <col collapsed="false" customWidth="true" hidden="false" outlineLevel="0" max="3" min="3" style="2" width="56.86"/>
    <col collapsed="false" customWidth="true" hidden="false" outlineLevel="0" max="4" min="4" style="2" width="52.42"/>
  </cols>
  <sheetData>
    <row r="1" customFormat="false" ht="24" hidden="false" customHeight="true" outlineLevel="0" collapsed="false">
      <c r="A1" s="3" t="s">
        <v>0</v>
      </c>
      <c r="B1" s="3"/>
      <c r="C1" s="3"/>
      <c r="D1" s="3"/>
    </row>
    <row r="2" customFormat="false" ht="19.5" hidden="false" customHeight="true" outlineLevel="0" collapsed="false">
      <c r="A2" s="4"/>
      <c r="B2" s="5"/>
      <c r="C2" s="6"/>
      <c r="D2" s="6"/>
    </row>
    <row r="3" customFormat="false" ht="18" hidden="false" customHeight="true" outlineLevel="0" collapsed="false">
      <c r="A3" s="7" t="s">
        <v>1</v>
      </c>
      <c r="B3" s="7"/>
      <c r="C3" s="7"/>
      <c r="D3" s="8"/>
    </row>
    <row r="4" customFormat="false" ht="19.5" hidden="false" customHeight="true" outlineLevel="0" collapsed="false">
      <c r="D4" s="6"/>
    </row>
    <row r="5" s="12" customFormat="true" ht="64.5" hidden="false" customHeight="true" outlineLevel="0" collapsed="false">
      <c r="A5" s="9"/>
      <c r="B5" s="10" t="s">
        <v>2</v>
      </c>
      <c r="C5" s="11" t="s">
        <v>3</v>
      </c>
      <c r="D5" s="11"/>
    </row>
    <row r="6" customFormat="false" ht="18.75" hidden="false" customHeight="true" outlineLevel="0" collapsed="false">
      <c r="A6" s="4"/>
      <c r="B6" s="5"/>
      <c r="C6" s="6"/>
      <c r="D6" s="6"/>
    </row>
    <row r="7" customFormat="false" ht="15.75" hidden="false" customHeight="true" outlineLevel="0" collapsed="false">
      <c r="A7" s="7" t="s">
        <v>4</v>
      </c>
      <c r="B7" s="7"/>
      <c r="C7" s="7"/>
      <c r="D7" s="7"/>
    </row>
    <row r="8" customFormat="false" ht="15.75" hidden="false" customHeight="true" outlineLevel="0" collapsed="false"/>
    <row r="9" customFormat="false" ht="15" hidden="false" customHeight="false" outlineLevel="0" collapsed="false">
      <c r="A9" s="13" t="s">
        <v>5</v>
      </c>
      <c r="B9" s="13"/>
      <c r="C9" s="14"/>
      <c r="D9" s="15"/>
    </row>
    <row r="10" customFormat="false" ht="69.75" hidden="false" customHeight="true" outlineLevel="0" collapsed="false">
      <c r="A10" s="16" t="s">
        <v>6</v>
      </c>
      <c r="B10" s="17"/>
      <c r="C10" s="18" t="s">
        <v>7</v>
      </c>
      <c r="D10" s="18"/>
    </row>
    <row r="11" customFormat="false" ht="15" hidden="false" customHeight="false" outlineLevel="0" collapsed="false">
      <c r="A11" s="13" t="s">
        <v>5</v>
      </c>
      <c r="B11" s="13"/>
      <c r="C11" s="19" t="s">
        <v>8</v>
      </c>
      <c r="D11" s="20" t="s">
        <v>9</v>
      </c>
    </row>
    <row r="12" s="25" customFormat="true" ht="93" hidden="false" customHeight="true" outlineLevel="0" collapsed="false">
      <c r="A12" s="21" t="s">
        <v>10</v>
      </c>
      <c r="B12" s="22" t="s">
        <v>11</v>
      </c>
      <c r="C12" s="23" t="s">
        <v>12</v>
      </c>
      <c r="D12" s="24" t="s">
        <v>13</v>
      </c>
    </row>
    <row r="13" s="25" customFormat="true" ht="93" hidden="false" customHeight="true" outlineLevel="0" collapsed="false">
      <c r="A13" s="21"/>
      <c r="B13" s="22" t="s">
        <v>14</v>
      </c>
      <c r="C13" s="23" t="s">
        <v>15</v>
      </c>
      <c r="D13" s="24" t="s">
        <v>16</v>
      </c>
    </row>
    <row r="14" s="25" customFormat="true" ht="52.5" hidden="false" customHeight="true" outlineLevel="0" collapsed="false">
      <c r="A14" s="16" t="s">
        <v>17</v>
      </c>
      <c r="B14" s="22" t="s">
        <v>11</v>
      </c>
      <c r="C14" s="23"/>
      <c r="D14" s="24"/>
    </row>
    <row r="15" s="25" customFormat="true" ht="52.5" hidden="false" customHeight="true" outlineLevel="0" collapsed="false">
      <c r="A15" s="16"/>
      <c r="B15" s="22" t="s">
        <v>14</v>
      </c>
      <c r="C15" s="23"/>
      <c r="D15" s="24"/>
    </row>
    <row r="16" s="25" customFormat="true" ht="52.5" hidden="false" customHeight="true" outlineLevel="0" collapsed="false">
      <c r="A16" s="16" t="s">
        <v>18</v>
      </c>
      <c r="B16" s="22" t="s">
        <v>11</v>
      </c>
      <c r="C16" s="23"/>
      <c r="D16" s="24"/>
    </row>
    <row r="17" s="25" customFormat="true" ht="52.5" hidden="false" customHeight="true" outlineLevel="0" collapsed="false">
      <c r="A17" s="16"/>
      <c r="B17" s="22" t="s">
        <v>14</v>
      </c>
      <c r="C17" s="23"/>
      <c r="D17" s="24"/>
    </row>
    <row r="18" s="25" customFormat="true" ht="52.5" hidden="false" customHeight="true" outlineLevel="0" collapsed="false">
      <c r="A18" s="16" t="s">
        <v>19</v>
      </c>
      <c r="B18" s="22" t="s">
        <v>11</v>
      </c>
      <c r="C18" s="23"/>
      <c r="D18" s="24"/>
    </row>
    <row r="19" s="25" customFormat="true" ht="52.5" hidden="false" customHeight="true" outlineLevel="0" collapsed="false">
      <c r="A19" s="16"/>
      <c r="B19" s="22" t="s">
        <v>14</v>
      </c>
      <c r="C19" s="23"/>
      <c r="D19" s="24"/>
    </row>
    <row r="20" s="25" customFormat="true" ht="52.5" hidden="false" customHeight="true" outlineLevel="0" collapsed="false">
      <c r="A20" s="16" t="s">
        <v>20</v>
      </c>
      <c r="B20" s="22" t="s">
        <v>11</v>
      </c>
      <c r="C20" s="23"/>
      <c r="D20" s="24"/>
    </row>
    <row r="21" s="25" customFormat="true" ht="52.5" hidden="false" customHeight="true" outlineLevel="0" collapsed="false">
      <c r="A21" s="16"/>
      <c r="B21" s="22" t="s">
        <v>14</v>
      </c>
      <c r="C21" s="23"/>
      <c r="D21" s="24"/>
    </row>
    <row r="22" s="25" customFormat="true" ht="52.5" hidden="false" customHeight="true" outlineLevel="0" collapsed="false">
      <c r="A22" s="16" t="s">
        <v>21</v>
      </c>
      <c r="B22" s="22" t="s">
        <v>11</v>
      </c>
      <c r="C22" s="23"/>
      <c r="D22" s="24"/>
    </row>
    <row r="23" s="25" customFormat="true" ht="52.5" hidden="false" customHeight="true" outlineLevel="0" collapsed="false">
      <c r="A23" s="16"/>
      <c r="B23" s="22" t="s">
        <v>14</v>
      </c>
      <c r="C23" s="23"/>
      <c r="D23" s="24"/>
    </row>
    <row r="24" s="25" customFormat="true" ht="52.5" hidden="false" customHeight="true" outlineLevel="0" collapsed="false">
      <c r="A24" s="16" t="s">
        <v>22</v>
      </c>
      <c r="B24" s="22" t="s">
        <v>11</v>
      </c>
      <c r="C24" s="23"/>
      <c r="D24" s="24"/>
    </row>
    <row r="25" s="25" customFormat="true" ht="52.5" hidden="false" customHeight="true" outlineLevel="0" collapsed="false">
      <c r="A25" s="16"/>
      <c r="B25" s="22" t="s">
        <v>14</v>
      </c>
      <c r="C25" s="23"/>
      <c r="D25" s="24"/>
    </row>
    <row r="26" s="25" customFormat="true" ht="52.5" hidden="false" customHeight="true" outlineLevel="0" collapsed="false">
      <c r="A26" s="16" t="s">
        <v>23</v>
      </c>
      <c r="B26" s="22" t="s">
        <v>11</v>
      </c>
      <c r="C26" s="23"/>
      <c r="D26" s="24"/>
    </row>
    <row r="27" s="25" customFormat="true" ht="52.5" hidden="false" customHeight="true" outlineLevel="0" collapsed="false">
      <c r="A27" s="16"/>
      <c r="B27" s="22" t="s">
        <v>14</v>
      </c>
      <c r="C27" s="23"/>
      <c r="D27" s="24"/>
    </row>
    <row r="28" s="25" customFormat="true" ht="52.5" hidden="false" customHeight="true" outlineLevel="0" collapsed="false">
      <c r="A28" s="16" t="s">
        <v>24</v>
      </c>
      <c r="B28" s="22" t="s">
        <v>11</v>
      </c>
      <c r="C28" s="23"/>
      <c r="D28" s="24"/>
    </row>
    <row r="29" s="25" customFormat="true" ht="52.5" hidden="false" customHeight="true" outlineLevel="0" collapsed="false">
      <c r="A29" s="16"/>
      <c r="B29" s="22" t="s">
        <v>14</v>
      </c>
      <c r="C29" s="23"/>
      <c r="D29" s="24"/>
    </row>
    <row r="30" s="25" customFormat="true" ht="52.5" hidden="false" customHeight="true" outlineLevel="0" collapsed="false">
      <c r="A30" s="16" t="s">
        <v>25</v>
      </c>
      <c r="B30" s="22" t="s">
        <v>11</v>
      </c>
      <c r="C30" s="23"/>
      <c r="D30" s="24"/>
    </row>
    <row r="31" s="25" customFormat="true" ht="52.5" hidden="false" customHeight="true" outlineLevel="0" collapsed="false">
      <c r="A31" s="16"/>
      <c r="B31" s="22" t="s">
        <v>14</v>
      </c>
      <c r="C31" s="26"/>
      <c r="D31" s="27"/>
    </row>
    <row r="32" customFormat="false" ht="15" hidden="false" customHeight="false" outlineLevel="0" collapsed="false">
      <c r="A32" s="28" t="s">
        <v>26</v>
      </c>
      <c r="B32" s="17"/>
      <c r="C32" s="14"/>
      <c r="D32" s="15"/>
    </row>
    <row r="33" customFormat="false" ht="15" hidden="false" customHeight="false" outlineLevel="0" collapsed="false">
      <c r="A33" s="28" t="s">
        <v>27</v>
      </c>
      <c r="B33" s="17"/>
      <c r="C33" s="14"/>
      <c r="D33" s="15"/>
    </row>
  </sheetData>
  <mergeCells count="17">
    <mergeCell ref="A1:D1"/>
    <mergeCell ref="A3:C3"/>
    <mergeCell ref="C5:D5"/>
    <mergeCell ref="A7:D7"/>
    <mergeCell ref="A9:B9"/>
    <mergeCell ref="C10:D10"/>
    <mergeCell ref="A11:B11"/>
    <mergeCell ref="A12:A13"/>
    <mergeCell ref="A14:A15"/>
    <mergeCell ref="A16:A17"/>
    <mergeCell ref="A18:A19"/>
    <mergeCell ref="A20:A21"/>
    <mergeCell ref="A22:A23"/>
    <mergeCell ref="A24:A25"/>
    <mergeCell ref="A26:A27"/>
    <mergeCell ref="A28:A29"/>
    <mergeCell ref="A30:A31"/>
  </mergeCells>
  <hyperlinks>
    <hyperlink ref="A12" location="'DF1'!A1" display="DF1"/>
  </hyperlink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true"/>
  </sheetPr>
  <dimension ref="A1:Y51"/>
  <sheetViews>
    <sheetView showFormulas="false" showGridLines="false" showRowColHeaders="true" showZeros="true" rightToLeft="false" tabSelected="false" showOutlineSymbols="true" defaultGridColor="true" view="normal" topLeftCell="A1" colorId="64" zoomScale="57" zoomScaleNormal="57" zoomScalePageLayoutView="100" workbookViewId="0">
      <pane xSplit="0" ySplit="5" topLeftCell="A6" activePane="bottomLeft" state="frozen"/>
      <selection pane="topLeft" activeCell="A1" activeCellId="0" sqref="A1"/>
      <selection pane="bottomLeft" activeCell="AH12" activeCellId="0" sqref="AH12"/>
    </sheetView>
  </sheetViews>
  <sheetFormatPr defaultColWidth="8.71484375" defaultRowHeight="15" zeroHeight="false" outlineLevelRow="0" outlineLevelCol="0"/>
  <cols>
    <col collapsed="false" customWidth="true" hidden="false" outlineLevel="0" max="1" min="1" style="29" width="51"/>
    <col collapsed="false" customWidth="true" hidden="false" outlineLevel="0" max="3" min="2" style="30" width="12.42"/>
    <col collapsed="false" customWidth="true" hidden="false" outlineLevel="0" max="4" min="4" style="30" width="9.57"/>
    <col collapsed="false" customWidth="true" hidden="false" outlineLevel="0" max="5" min="5" style="30" width="9.71"/>
    <col collapsed="false" customWidth="true" hidden="false" outlineLevel="0" max="6" min="6" style="0" width="0.14"/>
    <col collapsed="false" customWidth="true" hidden="false" outlineLevel="0" max="7" min="7" style="31" width="24.86"/>
    <col collapsed="false" customWidth="true" hidden="false" outlineLevel="0" max="8" min="8" style="31" width="1.71"/>
    <col collapsed="false" customWidth="true" hidden="false" outlineLevel="0" max="9" min="9" style="30" width="12.86"/>
    <col collapsed="false" customWidth="true" hidden="false" outlineLevel="0" max="10" min="10" style="30" width="14.71"/>
    <col collapsed="false" customWidth="true" hidden="false" outlineLevel="0" max="11" min="11" style="30" width="6.14"/>
    <col collapsed="false" customWidth="true" hidden="false" outlineLevel="0" max="12" min="12" style="30" width="11"/>
    <col collapsed="false" customWidth="true" hidden="false" outlineLevel="0" max="13" min="13" style="30" width="17.86"/>
    <col collapsed="false" customWidth="true" hidden="false" outlineLevel="0" max="14" min="14" style="30" width="13.86"/>
    <col collapsed="false" customWidth="true" hidden="true" outlineLevel="0" max="15" min="15" style="30" width="5.86"/>
    <col collapsed="false" customWidth="true" hidden="true" outlineLevel="0" max="16" min="16" style="0" width="6.43"/>
    <col collapsed="false" customWidth="true" hidden="false" outlineLevel="0" max="17" min="17" style="31" width="23.14"/>
    <col collapsed="false" customWidth="true" hidden="false" outlineLevel="0" max="18" min="18" style="30" width="1.85"/>
    <col collapsed="false" customWidth="true" hidden="false" outlineLevel="0" max="19" min="19" style="30" width="16"/>
    <col collapsed="false" customWidth="true" hidden="false" outlineLevel="0" max="20" min="20" style="30" width="32.57"/>
    <col collapsed="false" customWidth="true" hidden="false" outlineLevel="0" max="21" min="21" style="30" width="23.42"/>
    <col collapsed="false" customWidth="true" hidden="false" outlineLevel="0" max="22" min="22" style="30" width="2.15"/>
    <col collapsed="false" customWidth="true" hidden="false" outlineLevel="0" max="23" min="23" style="32" width="13.15"/>
    <col collapsed="false" customWidth="true" hidden="false" outlineLevel="0" max="24" min="24" style="32" width="12.42"/>
    <col collapsed="false" customWidth="true" hidden="false" outlineLevel="0" max="25" min="25" style="30" width="30.85"/>
    <col collapsed="false" customWidth="false" hidden="false" outlineLevel="0" max="16384" min="26" style="30" width="8.71"/>
  </cols>
  <sheetData>
    <row r="1" s="34" customFormat="true" ht="33" hidden="false" customHeight="true" outlineLevel="0" collapsed="false">
      <c r="A1" s="33" t="s">
        <v>28</v>
      </c>
      <c r="B1" s="33"/>
      <c r="C1" s="33"/>
      <c r="D1" s="33"/>
      <c r="E1" s="33"/>
      <c r="F1" s="33"/>
      <c r="G1" s="33"/>
      <c r="H1" s="33"/>
      <c r="I1" s="33"/>
      <c r="J1" s="33"/>
      <c r="K1" s="33"/>
      <c r="L1" s="33"/>
      <c r="M1" s="33"/>
      <c r="N1" s="33"/>
      <c r="O1" s="33"/>
      <c r="P1" s="33"/>
      <c r="Q1" s="33"/>
      <c r="R1" s="33"/>
      <c r="S1" s="33"/>
      <c r="T1" s="33"/>
      <c r="U1" s="33"/>
      <c r="V1" s="33"/>
      <c r="W1" s="33"/>
      <c r="X1" s="33"/>
      <c r="Y1" s="33"/>
    </row>
    <row r="2" customFormat="false" ht="3" hidden="false" customHeight="true" outlineLevel="0" collapsed="false">
      <c r="A2" s="1"/>
      <c r="G2" s="35"/>
      <c r="H2" s="35"/>
      <c r="Q2" s="35"/>
      <c r="W2" s="36"/>
      <c r="X2" s="36"/>
    </row>
    <row r="3" s="39" customFormat="true" ht="25.5" hidden="false" customHeight="true" outlineLevel="0" collapsed="false">
      <c r="A3" s="37"/>
      <c r="B3" s="38" t="s">
        <v>29</v>
      </c>
      <c r="C3" s="38"/>
      <c r="D3" s="38"/>
      <c r="E3" s="38"/>
      <c r="F3" s="38"/>
      <c r="G3" s="38"/>
      <c r="I3" s="40" t="s">
        <v>30</v>
      </c>
      <c r="J3" s="40"/>
      <c r="K3" s="40"/>
      <c r="L3" s="40"/>
      <c r="M3" s="40"/>
      <c r="N3" s="40"/>
      <c r="O3" s="40"/>
      <c r="P3" s="40"/>
      <c r="Q3" s="40"/>
      <c r="S3" s="41" t="s">
        <v>31</v>
      </c>
      <c r="T3" s="41"/>
      <c r="U3" s="41"/>
      <c r="V3" s="41"/>
      <c r="W3" s="41"/>
      <c r="X3" s="41"/>
      <c r="Y3" s="41"/>
    </row>
    <row r="4" s="47" customFormat="true" ht="67.5" hidden="false" customHeight="true" outlineLevel="0" collapsed="false">
      <c r="A4" s="42" t="s">
        <v>32</v>
      </c>
      <c r="B4" s="43" t="s">
        <v>33</v>
      </c>
      <c r="C4" s="44" t="s">
        <v>34</v>
      </c>
      <c r="D4" s="44" t="s">
        <v>35</v>
      </c>
      <c r="E4" s="44" t="s">
        <v>36</v>
      </c>
      <c r="F4" s="45"/>
      <c r="G4" s="46" t="s">
        <v>37</v>
      </c>
      <c r="I4" s="44" t="s">
        <v>38</v>
      </c>
      <c r="J4" s="44" t="s">
        <v>39</v>
      </c>
      <c r="K4" s="44" t="s">
        <v>40</v>
      </c>
      <c r="L4" s="44" t="s">
        <v>41</v>
      </c>
      <c r="M4" s="44" t="s">
        <v>42</v>
      </c>
      <c r="N4" s="43" t="s">
        <v>43</v>
      </c>
      <c r="O4" s="44" t="s">
        <v>44</v>
      </c>
      <c r="P4" s="45"/>
      <c r="Q4" s="48" t="s">
        <v>45</v>
      </c>
      <c r="S4" s="49" t="s">
        <v>46</v>
      </c>
      <c r="T4" s="50" t="s">
        <v>47</v>
      </c>
      <c r="U4" s="51" t="s">
        <v>48</v>
      </c>
      <c r="W4" s="52" t="s">
        <v>49</v>
      </c>
      <c r="X4" s="53" t="s">
        <v>50</v>
      </c>
      <c r="Y4" s="54" t="s">
        <v>47</v>
      </c>
    </row>
    <row r="5" customFormat="false" ht="16.5" hidden="false" customHeight="true" outlineLevel="0" collapsed="false">
      <c r="A5" s="55" t="s">
        <v>51</v>
      </c>
      <c r="B5" s="56" t="n">
        <v>1</v>
      </c>
      <c r="C5" s="56" t="n">
        <v>1</v>
      </c>
      <c r="D5" s="56" t="n">
        <v>1</v>
      </c>
      <c r="E5" s="56" t="n">
        <v>1</v>
      </c>
      <c r="F5" s="57"/>
      <c r="G5" s="46"/>
      <c r="I5" s="56" t="n">
        <v>1</v>
      </c>
      <c r="J5" s="56" t="n">
        <v>1</v>
      </c>
      <c r="K5" s="56" t="n">
        <v>1</v>
      </c>
      <c r="L5" s="56" t="n">
        <v>1</v>
      </c>
      <c r="M5" s="56" t="n">
        <v>1</v>
      </c>
      <c r="N5" s="56" t="n">
        <v>1</v>
      </c>
      <c r="O5" s="58" t="n">
        <v>0</v>
      </c>
      <c r="P5" s="57"/>
      <c r="Q5" s="48"/>
      <c r="S5" s="49"/>
      <c r="T5" s="50"/>
      <c r="U5" s="51"/>
      <c r="W5" s="52"/>
      <c r="X5" s="52"/>
      <c r="Y5" s="54"/>
    </row>
    <row r="6" customFormat="false" ht="33.75" hidden="false" customHeight="true" outlineLevel="0" collapsed="false">
      <c r="A6" s="59" t="s">
        <v>52</v>
      </c>
      <c r="B6" s="60" t="n">
        <f aca="false">DF1!D22</f>
        <v>5</v>
      </c>
      <c r="C6" s="60" t="n">
        <f aca="false">DF2!D31</f>
        <v>5</v>
      </c>
      <c r="D6" s="60" t="n">
        <f aca="false">DF3!D35</f>
        <v>0</v>
      </c>
      <c r="E6" s="60" t="n">
        <f aca="false">DF4!D31</f>
        <v>-5</v>
      </c>
      <c r="F6" s="61" t="n">
        <f aca="false">SUMPRODUCT(B$5:E$5,B6:E6)</f>
        <v>5</v>
      </c>
      <c r="G6" s="62" t="n">
        <f aca="false">IFERROR(IF(F6&gt;=0,MROUND(TRUNC(100*SUMPRODUCT(B$5:E$5,B6:E6)/MAX(F$50:F$51)),5),MROUND(TRUNC(100*SUMPRODUCT(B$5:E$5,B6:E6)/MAX(F$50:F$51)),-5)),0)</f>
        <v>5</v>
      </c>
      <c r="I6" s="60" t="n">
        <f aca="false">DF5!D30</f>
        <v>80</v>
      </c>
      <c r="J6" s="60" t="n">
        <f aca="false">DF6!D30</f>
        <v>50</v>
      </c>
      <c r="K6" s="60" t="n">
        <f aca="false">DF7!D32</f>
        <v>20</v>
      </c>
      <c r="L6" s="60" t="n">
        <f aca="false">DF8!D32</f>
        <v>0</v>
      </c>
      <c r="M6" s="60" t="n">
        <f aca="false">DF9!D28</f>
        <v>0</v>
      </c>
      <c r="N6" s="60" t="n">
        <f aca="false">DF10!D22</f>
        <v>0</v>
      </c>
      <c r="O6" s="60" t="n">
        <v>0</v>
      </c>
      <c r="P6" s="63" t="n">
        <f aca="false">SUMPRODUCT(B$5:E$5,B6:E6)+SUMPRODUCT(I$5:N$5,I6:N6)</f>
        <v>155</v>
      </c>
      <c r="Q6" s="64" t="n">
        <f aca="false">IFERROR(IF(P6&gt;0,MROUND(TRUNC(100*SUMPRODUCT(B$5:N$5,B6:N6)/MAX(P$50:P$51)),5),MROUND(TRUNC(100*SUMPRODUCT(B$5:N$5,B6:N6)/MAX(P$50:P$51)),-5)),0)</f>
        <v>55</v>
      </c>
      <c r="S6" s="65"/>
      <c r="T6" s="66"/>
      <c r="U6" s="67" t="n">
        <f aca="false">Q6+S6</f>
        <v>55</v>
      </c>
      <c r="W6" s="68" t="n">
        <f aca="false">IF(U6&gt;=75,4,IF(U6&gt;=50,3,IF(U6&gt;=25,2,1)))</f>
        <v>3</v>
      </c>
      <c r="X6" s="69" t="n">
        <f aca="false">W6</f>
        <v>3</v>
      </c>
      <c r="Y6" s="70"/>
    </row>
    <row r="7" customFormat="false" ht="27" hidden="false" customHeight="true" outlineLevel="0" collapsed="false">
      <c r="A7" s="59" t="s">
        <v>53</v>
      </c>
      <c r="B7" s="60" t="n">
        <f aca="false">DF1!D23</f>
        <v>15</v>
      </c>
      <c r="C7" s="60" t="n">
        <f aca="false">DF2!D32</f>
        <v>0</v>
      </c>
      <c r="D7" s="60" t="n">
        <f aca="false">DF3!D36</f>
        <v>20</v>
      </c>
      <c r="E7" s="60" t="n">
        <f aca="false">DF4!D32</f>
        <v>-5</v>
      </c>
      <c r="F7" s="61" t="n">
        <f aca="false">SUMPRODUCT(B$5:E$5,B7:E7)</f>
        <v>30</v>
      </c>
      <c r="G7" s="62" t="n">
        <f aca="false">IFERROR(IF(F7&gt;=0,MROUND(TRUNC(100*SUMPRODUCT(B$5:E$5,B7:E7)/MAX(F$50:F$51)),5),MROUND(TRUNC(100*SUMPRODUCT(B$5:E$5,B7:E7)/MAX(F$50:F$51)),-5)),0)</f>
        <v>30</v>
      </c>
      <c r="I7" s="60" t="n">
        <f aca="false">DF5!D31</f>
        <v>0</v>
      </c>
      <c r="J7" s="60" t="n">
        <f aca="false">DF6!D31</f>
        <v>0</v>
      </c>
      <c r="K7" s="60" t="n">
        <f aca="false">DF7!D33</f>
        <v>5</v>
      </c>
      <c r="L7" s="60" t="n">
        <f aca="false">DF8!D33</f>
        <v>0</v>
      </c>
      <c r="M7" s="60" t="n">
        <f aca="false">DF9!D29</f>
        <v>0</v>
      </c>
      <c r="N7" s="60" t="n">
        <f aca="false">DF10!D23</f>
        <v>-5</v>
      </c>
      <c r="O7" s="60" t="n">
        <v>0</v>
      </c>
      <c r="P7" s="63" t="n">
        <f aca="false">SUMPRODUCT(B$5:E$5,B7:E7)+SUMPRODUCT(I$5:N$5,I7:N7)</f>
        <v>30</v>
      </c>
      <c r="Q7" s="64" t="n">
        <f aca="false">IFERROR(IF(P7&gt;0,MROUND(TRUNC(100*SUMPRODUCT(B$5:N$5,B7:N7)/MAX(P$50:P$51)),5),MROUND(TRUNC(100*SUMPRODUCT(B$5:N$5,B7:N7)/MAX(P$50:P$51)),-5)),0)</f>
        <v>10</v>
      </c>
      <c r="S7" s="65"/>
      <c r="T7" s="66"/>
      <c r="U7" s="67" t="n">
        <f aca="false">Q7+S7</f>
        <v>10</v>
      </c>
      <c r="W7" s="71" t="n">
        <f aca="false">IF(U7&gt;=75,4,IF(U7&gt;=50,3,IF(U7&gt;=25,2,1)))</f>
        <v>1</v>
      </c>
      <c r="X7" s="69" t="n">
        <f aca="false">W7</f>
        <v>1</v>
      </c>
      <c r="Y7" s="70"/>
    </row>
    <row r="8" customFormat="false" ht="27" hidden="false" customHeight="true" outlineLevel="0" collapsed="false">
      <c r="A8" s="59" t="s">
        <v>54</v>
      </c>
      <c r="B8" s="60" t="n">
        <f aca="false">DF1!D24</f>
        <v>15</v>
      </c>
      <c r="C8" s="60" t="n">
        <f aca="false">DF2!D33</f>
        <v>20</v>
      </c>
      <c r="D8" s="60" t="n">
        <f aca="false">DF3!D37</f>
        <v>5</v>
      </c>
      <c r="E8" s="60" t="n">
        <f aca="false">DF4!D33</f>
        <v>5</v>
      </c>
      <c r="F8" s="61" t="n">
        <f aca="false">SUMPRODUCT(B$5:E$5,B8:E8)</f>
        <v>45</v>
      </c>
      <c r="G8" s="62" t="n">
        <f aca="false">IFERROR(IF(F8&gt;=0,MROUND(TRUNC(100*SUMPRODUCT(B$5:E$5,B8:E8)/MAX(F$50:F$51)),5),MROUND(TRUNC(100*SUMPRODUCT(B$5:E$5,B8:E8)/MAX(F$50:F$51)),-5)),0)</f>
        <v>45</v>
      </c>
      <c r="I8" s="60" t="n">
        <f aca="false">DF5!D32</f>
        <v>100</v>
      </c>
      <c r="J8" s="60" t="n">
        <f aca="false">DF6!D32</f>
        <v>100</v>
      </c>
      <c r="K8" s="60" t="n">
        <f aca="false">DF7!D34</f>
        <v>20</v>
      </c>
      <c r="L8" s="60" t="n">
        <f aca="false">DF8!D34</f>
        <v>-5</v>
      </c>
      <c r="M8" s="60" t="n">
        <f aca="false">DF9!D30</f>
        <v>0</v>
      </c>
      <c r="N8" s="60" t="n">
        <f aca="false">DF10!D24</f>
        <v>0</v>
      </c>
      <c r="O8" s="60" t="n">
        <v>0</v>
      </c>
      <c r="P8" s="63" t="n">
        <f aca="false">SUMPRODUCT(B$5:E$5,B8:E8)+SUMPRODUCT(I$5:N$5,I8:N8)</f>
        <v>260</v>
      </c>
      <c r="Q8" s="64" t="n">
        <f aca="false">IFERROR(IF(P8&gt;0,MROUND(TRUNC(100*SUMPRODUCT(B$5:N$5,B8:N8)/MAX(P$50:P$51)),5),MROUND(TRUNC(100*SUMPRODUCT(B$5:N$5,B8:N8)/MAX(P$50:P$51)),-5)),0)</f>
        <v>90</v>
      </c>
      <c r="S8" s="65"/>
      <c r="T8" s="66"/>
      <c r="U8" s="67" t="n">
        <f aca="false">Q8+S8</f>
        <v>90</v>
      </c>
      <c r="W8" s="71" t="n">
        <f aca="false">IF(U8&gt;=75,4,IF(U8&gt;=50,3,IF(U8&gt;=25,2,1)))</f>
        <v>4</v>
      </c>
      <c r="X8" s="69" t="n">
        <f aca="false">W8</f>
        <v>4</v>
      </c>
      <c r="Y8" s="70"/>
    </row>
    <row r="9" customFormat="false" ht="27" hidden="false" customHeight="true" outlineLevel="0" collapsed="false">
      <c r="A9" s="59" t="s">
        <v>55</v>
      </c>
      <c r="B9" s="60" t="n">
        <f aca="false">DF1!D25</f>
        <v>-20</v>
      </c>
      <c r="C9" s="60" t="n">
        <f aca="false">DF2!D34</f>
        <v>0</v>
      </c>
      <c r="D9" s="60" t="n">
        <f aca="false">DF3!D38</f>
        <v>-5</v>
      </c>
      <c r="E9" s="60" t="n">
        <f aca="false">DF4!D34</f>
        <v>-5</v>
      </c>
      <c r="F9" s="61" t="n">
        <f aca="false">SUMPRODUCT(B$5:E$5,B9:E9)</f>
        <v>-30</v>
      </c>
      <c r="G9" s="62" t="n">
        <f aca="false">IFERROR(IF(F9&gt;=0,MROUND(TRUNC(100*SUMPRODUCT(B$5:E$5,B9:E9)/MAX(F$50:F$51)),5),MROUND(TRUNC(100*SUMPRODUCT(B$5:E$5,B9:E9)/MAX(F$50:F$51)),-5)),0)</f>
        <v>-30</v>
      </c>
      <c r="I9" s="60" t="n">
        <f aca="false">DF5!D33</f>
        <v>0</v>
      </c>
      <c r="J9" s="60" t="n">
        <f aca="false">DF6!D33</f>
        <v>0</v>
      </c>
      <c r="K9" s="60" t="n">
        <f aca="false">DF7!D35</f>
        <v>10</v>
      </c>
      <c r="L9" s="60" t="n">
        <f aca="false">DF8!D35</f>
        <v>0</v>
      </c>
      <c r="M9" s="60" t="n">
        <f aca="false">DF9!D31</f>
        <v>0</v>
      </c>
      <c r="N9" s="60" t="n">
        <f aca="false">DF10!D25</f>
        <v>0</v>
      </c>
      <c r="O9" s="60" t="n">
        <v>0</v>
      </c>
      <c r="P9" s="63" t="n">
        <f aca="false">SUMPRODUCT(B$5:E$5,B9:E9)+SUMPRODUCT(I$5:N$5,I9:N9)</f>
        <v>-20</v>
      </c>
      <c r="Q9" s="64" t="n">
        <f aca="false">IFERROR(IF(P9&gt;0,MROUND(TRUNC(100*SUMPRODUCT(B$5:N$5,B9:N9)/MAX(P$50:P$51)),5),MROUND(TRUNC(100*SUMPRODUCT(B$5:N$5,B9:N9)/MAX(P$50:P$51)),-5)),0)</f>
        <v>-5</v>
      </c>
      <c r="S9" s="65"/>
      <c r="T9" s="66"/>
      <c r="U9" s="67" t="n">
        <f aca="false">Q9+S9</f>
        <v>-5</v>
      </c>
      <c r="W9" s="71" t="n">
        <f aca="false">IF(U9&gt;=75,4,IF(U9&gt;=50,3,IF(U9&gt;=25,2,1)))</f>
        <v>1</v>
      </c>
      <c r="X9" s="69" t="n">
        <f aca="false">W9</f>
        <v>1</v>
      </c>
      <c r="Y9" s="70"/>
    </row>
    <row r="10" customFormat="false" ht="27" hidden="false" customHeight="true" outlineLevel="0" collapsed="false">
      <c r="A10" s="59" t="s">
        <v>56</v>
      </c>
      <c r="B10" s="60" t="n">
        <f aca="false">DF1!D26</f>
        <v>10</v>
      </c>
      <c r="C10" s="60" t="n">
        <f aca="false">DF2!D35</f>
        <v>-10</v>
      </c>
      <c r="D10" s="60" t="n">
        <f aca="false">DF3!D39</f>
        <v>-5</v>
      </c>
      <c r="E10" s="60" t="n">
        <f aca="false">DF4!D35</f>
        <v>-10</v>
      </c>
      <c r="F10" s="61" t="n">
        <f aca="false">SUMPRODUCT(B$5:E$5,B10:E10)</f>
        <v>-15</v>
      </c>
      <c r="G10" s="62" t="n">
        <f aca="false">IFERROR(IF(F10&gt;=0,MROUND(TRUNC(100*SUMPRODUCT(B$5:E$5,B10:E10)/MAX(F$50:F$51)),5),MROUND(TRUNC(100*SUMPRODUCT(B$5:E$5,B10:E10)/MAX(F$50:F$51)),-5)),0)</f>
        <v>-15</v>
      </c>
      <c r="I10" s="60" t="n">
        <f aca="false">DF5!D34</f>
        <v>50</v>
      </c>
      <c r="J10" s="60" t="n">
        <f aca="false">DF6!D34</f>
        <v>50</v>
      </c>
      <c r="K10" s="60" t="n">
        <f aca="false">DF7!D36</f>
        <v>10</v>
      </c>
      <c r="L10" s="60" t="n">
        <f aca="false">DF8!D36</f>
        <v>0</v>
      </c>
      <c r="M10" s="60" t="n">
        <f aca="false">DF9!D32</f>
        <v>0</v>
      </c>
      <c r="N10" s="60" t="n">
        <f aca="false">DF10!D26</f>
        <v>0</v>
      </c>
      <c r="O10" s="60" t="n">
        <v>0</v>
      </c>
      <c r="P10" s="63" t="n">
        <f aca="false">SUMPRODUCT(B$5:E$5,B10:E10)+SUMPRODUCT(I$5:N$5,I10:N10)</f>
        <v>95</v>
      </c>
      <c r="Q10" s="64" t="n">
        <f aca="false">IFERROR(IF(P10&gt;0,MROUND(TRUNC(100*SUMPRODUCT(B$5:N$5,B10:N10)/MAX(P$50:P$51)),5),MROUND(TRUNC(100*SUMPRODUCT(B$5:N$5,B10:N10)/MAX(P$50:P$51)),-5)),0)</f>
        <v>30</v>
      </c>
      <c r="S10" s="65"/>
      <c r="T10" s="66"/>
      <c r="U10" s="67" t="n">
        <f aca="false">Q10+S10</f>
        <v>30</v>
      </c>
      <c r="W10" s="71" t="n">
        <f aca="false">IF(U10&gt;=75,4,IF(U10&gt;=50,3,IF(U10&gt;=25,2,1)))</f>
        <v>2</v>
      </c>
      <c r="X10" s="69" t="n">
        <f aca="false">W10</f>
        <v>2</v>
      </c>
      <c r="Y10" s="70"/>
    </row>
    <row r="11" customFormat="false" ht="27" hidden="false" customHeight="true" outlineLevel="0" collapsed="false">
      <c r="A11" s="72" t="s">
        <v>57</v>
      </c>
      <c r="B11" s="60" t="n">
        <f aca="false">DF1!D27</f>
        <v>0</v>
      </c>
      <c r="C11" s="60" t="n">
        <f aca="false">DF2!D36</f>
        <v>5</v>
      </c>
      <c r="D11" s="60" t="n">
        <f aca="false">DF3!D40</f>
        <v>20</v>
      </c>
      <c r="E11" s="60" t="n">
        <f aca="false">DF4!D36</f>
        <v>0</v>
      </c>
      <c r="F11" s="61" t="n">
        <f aca="false">SUMPRODUCT(B$5:E$5,B11:E11)</f>
        <v>25</v>
      </c>
      <c r="G11" s="62" t="n">
        <f aca="false">IFERROR(IF(F11&gt;=0,MROUND(TRUNC(100*SUMPRODUCT(B$5:E$5,B11:E11)/MAX(F$50:F$51)),5),MROUND(TRUNC(100*SUMPRODUCT(B$5:E$5,B11:E11)/MAX(F$50:F$51)),-5)),0)</f>
        <v>25</v>
      </c>
      <c r="I11" s="60" t="n">
        <f aca="false">DF5!D35</f>
        <v>80</v>
      </c>
      <c r="J11" s="60" t="n">
        <f aca="false">DF6!D35</f>
        <v>35</v>
      </c>
      <c r="K11" s="60" t="n">
        <f aca="false">DF7!D37</f>
        <v>10</v>
      </c>
      <c r="L11" s="60" t="n">
        <f aca="false">DF8!D37</f>
        <v>0</v>
      </c>
      <c r="M11" s="60" t="n">
        <f aca="false">DF9!D33</f>
        <v>0</v>
      </c>
      <c r="N11" s="60" t="n">
        <f aca="false">DF10!D27</f>
        <v>-5</v>
      </c>
      <c r="O11" s="60" t="n">
        <v>0</v>
      </c>
      <c r="P11" s="63" t="n">
        <f aca="false">SUMPRODUCT(B$5:E$5,B11:E11)+SUMPRODUCT(I$5:N$5,I11:N11)</f>
        <v>145</v>
      </c>
      <c r="Q11" s="64" t="n">
        <f aca="false">IFERROR(IF(P11&gt;0,MROUND(TRUNC(100*SUMPRODUCT(B$5:N$5,B11:N11)/MAX(P$50:P$51)),5),MROUND(TRUNC(100*SUMPRODUCT(B$5:N$5,B11:N11)/MAX(P$50:P$51)),-5)),0)</f>
        <v>50</v>
      </c>
      <c r="S11" s="65"/>
      <c r="T11" s="66"/>
      <c r="U11" s="67" t="n">
        <f aca="false">Q11+S11</f>
        <v>50</v>
      </c>
      <c r="W11" s="71" t="n">
        <f aca="false">IF(U11&gt;=75,4,IF(U11&gt;=50,3,IF(U11&gt;=25,2,1)))</f>
        <v>3</v>
      </c>
      <c r="X11" s="69" t="n">
        <f aca="false">W11</f>
        <v>3</v>
      </c>
      <c r="Y11" s="70"/>
    </row>
    <row r="12" customFormat="false" ht="27" hidden="false" customHeight="true" outlineLevel="0" collapsed="false">
      <c r="A12" s="72" t="s">
        <v>58</v>
      </c>
      <c r="B12" s="60" t="n">
        <f aca="false">DF1!D28</f>
        <v>-10</v>
      </c>
      <c r="C12" s="60" t="n">
        <f aca="false">DF2!D37</f>
        <v>-5</v>
      </c>
      <c r="D12" s="60" t="n">
        <f aca="false">DF3!D41</f>
        <v>5</v>
      </c>
      <c r="E12" s="60" t="n">
        <f aca="false">DF4!D37</f>
        <v>-5</v>
      </c>
      <c r="F12" s="61" t="n">
        <f aca="false">SUMPRODUCT(B$5:E$5,B12:E12)</f>
        <v>-15</v>
      </c>
      <c r="G12" s="62" t="n">
        <f aca="false">IFERROR(IF(F12&gt;=0,MROUND(TRUNC(100*SUMPRODUCT(B$5:E$5,B12:E12)/MAX(F$50:F$51)),5),MROUND(TRUNC(100*SUMPRODUCT(B$5:E$5,B12:E12)/MAX(F$50:F$51)),-5)),0)</f>
        <v>-15</v>
      </c>
      <c r="I12" s="60" t="n">
        <f aca="false">DF5!D36</f>
        <v>0</v>
      </c>
      <c r="J12" s="60" t="n">
        <f aca="false">DF6!D36</f>
        <v>0</v>
      </c>
      <c r="K12" s="60" t="n">
        <f aca="false">DF7!D38</f>
        <v>0</v>
      </c>
      <c r="L12" s="60" t="n">
        <f aca="false">DF8!D38</f>
        <v>0</v>
      </c>
      <c r="M12" s="60" t="n">
        <f aca="false">DF9!D34</f>
        <v>0</v>
      </c>
      <c r="N12" s="60" t="n">
        <f aca="false">DF10!D28</f>
        <v>0</v>
      </c>
      <c r="O12" s="60" t="n">
        <v>0</v>
      </c>
      <c r="P12" s="63" t="n">
        <f aca="false">SUMPRODUCT(B$5:E$5,B12:E12)+SUMPRODUCT(I$5:N$5,I12:N12)</f>
        <v>-15</v>
      </c>
      <c r="Q12" s="64" t="n">
        <f aca="false">IFERROR(IF(P12&gt;0,MROUND(TRUNC(100*SUMPRODUCT(B$5:N$5,B12:N12)/MAX(P$50:P$51)),5),MROUND(TRUNC(100*SUMPRODUCT(B$5:N$5,B12:N12)/MAX(P$50:P$51)),-5)),0)</f>
        <v>-5</v>
      </c>
      <c r="S12" s="65"/>
      <c r="T12" s="66"/>
      <c r="U12" s="67" t="n">
        <f aca="false">Q12+S12</f>
        <v>-5</v>
      </c>
      <c r="W12" s="71" t="n">
        <f aca="false">IF(U12&gt;=75,4,IF(U12&gt;=50,3,IF(U12&gt;=25,2,1)))</f>
        <v>1</v>
      </c>
      <c r="X12" s="69" t="n">
        <f aca="false">W12</f>
        <v>1</v>
      </c>
      <c r="Y12" s="70"/>
    </row>
    <row r="13" customFormat="false" ht="27" hidden="false" customHeight="true" outlineLevel="0" collapsed="false">
      <c r="A13" s="72" t="s">
        <v>59</v>
      </c>
      <c r="B13" s="60" t="n">
        <f aca="false">DF1!D29</f>
        <v>-20</v>
      </c>
      <c r="C13" s="60" t="n">
        <f aca="false">DF2!D38</f>
        <v>-5</v>
      </c>
      <c r="D13" s="60" t="n">
        <f aca="false">DF3!D42</f>
        <v>25</v>
      </c>
      <c r="E13" s="60" t="n">
        <f aca="false">DF4!D38</f>
        <v>5</v>
      </c>
      <c r="F13" s="61" t="n">
        <f aca="false">SUMPRODUCT(B$5:E$5,B13:E13)</f>
        <v>5</v>
      </c>
      <c r="G13" s="62" t="n">
        <f aca="false">IFERROR(IF(F13&gt;=0,MROUND(TRUNC(100*SUMPRODUCT(B$5:E$5,B13:E13)/MAX(F$50:F$51)),5),MROUND(TRUNC(100*SUMPRODUCT(B$5:E$5,B13:E13)/MAX(F$50:F$51)),-5)),0)</f>
        <v>5</v>
      </c>
      <c r="I13" s="60" t="n">
        <f aca="false">DF5!D37</f>
        <v>80</v>
      </c>
      <c r="J13" s="60" t="n">
        <f aca="false">DF6!D37</f>
        <v>0</v>
      </c>
      <c r="K13" s="60" t="n">
        <f aca="false">DF7!D39</f>
        <v>0</v>
      </c>
      <c r="L13" s="60" t="n">
        <f aca="false">DF8!D39</f>
        <v>0</v>
      </c>
      <c r="M13" s="60" t="n">
        <f aca="false">DF9!D35</f>
        <v>-5</v>
      </c>
      <c r="N13" s="60" t="n">
        <f aca="false">DF10!D29</f>
        <v>-5</v>
      </c>
      <c r="O13" s="60" t="n">
        <v>0</v>
      </c>
      <c r="P13" s="63" t="n">
        <f aca="false">SUMPRODUCT(B$5:E$5,B13:E13)+SUMPRODUCT(I$5:N$5,I13:N13)</f>
        <v>75</v>
      </c>
      <c r="Q13" s="64" t="n">
        <f aca="false">IFERROR(IF(P13&gt;0,MROUND(TRUNC(100*SUMPRODUCT(B$5:N$5,B13:N13)/MAX(P$50:P$51)),5),MROUND(TRUNC(100*SUMPRODUCT(B$5:N$5,B13:N13)/MAX(P$50:P$51)),-5)),0)</f>
        <v>25</v>
      </c>
      <c r="S13" s="65"/>
      <c r="T13" s="66"/>
      <c r="U13" s="67" t="n">
        <f aca="false">Q13+S13</f>
        <v>25</v>
      </c>
      <c r="W13" s="71" t="n">
        <f aca="false">IF(U13&gt;=75,4,IF(U13&gt;=50,3,IF(U13&gt;=25,2,1)))</f>
        <v>2</v>
      </c>
      <c r="X13" s="69" t="n">
        <f aca="false">W13</f>
        <v>2</v>
      </c>
      <c r="Y13" s="70"/>
    </row>
    <row r="14" customFormat="false" ht="27" hidden="false" customHeight="true" outlineLevel="0" collapsed="false">
      <c r="A14" s="72" t="s">
        <v>60</v>
      </c>
      <c r="B14" s="60" t="n">
        <f aca="false">DF1!D30</f>
        <v>15</v>
      </c>
      <c r="C14" s="60" t="n">
        <f aca="false">DF2!D39</f>
        <v>-5</v>
      </c>
      <c r="D14" s="60" t="n">
        <f aca="false">DF3!D43</f>
        <v>20</v>
      </c>
      <c r="E14" s="60" t="n">
        <f aca="false">DF4!D39</f>
        <v>10</v>
      </c>
      <c r="F14" s="61" t="n">
        <f aca="false">SUMPRODUCT(B$5:E$5,B14:E14)</f>
        <v>40</v>
      </c>
      <c r="G14" s="62" t="n">
        <f aca="false">IFERROR(IF(F14&gt;=0,MROUND(TRUNC(100*SUMPRODUCT(B$5:E$5,B14:E14)/MAX(F$50:F$51)),5),MROUND(TRUNC(100*SUMPRODUCT(B$5:E$5,B14:E14)/MAX(F$50:F$51)),-5)),0)</f>
        <v>40</v>
      </c>
      <c r="I14" s="60" t="n">
        <f aca="false">DF5!D38</f>
        <v>0</v>
      </c>
      <c r="J14" s="60" t="n">
        <f aca="false">DF6!D38</f>
        <v>0</v>
      </c>
      <c r="K14" s="60" t="n">
        <f aca="false">DF7!D40</f>
        <v>5</v>
      </c>
      <c r="L14" s="60" t="n">
        <f aca="false">DF8!D40</f>
        <v>0</v>
      </c>
      <c r="M14" s="60" t="n">
        <f aca="false">DF9!D36</f>
        <v>0</v>
      </c>
      <c r="N14" s="60" t="n">
        <f aca="false">DF10!D30</f>
        <v>0</v>
      </c>
      <c r="O14" s="60" t="n">
        <v>0</v>
      </c>
      <c r="P14" s="63" t="n">
        <f aca="false">SUMPRODUCT(B$5:E$5,B14:E14)+SUMPRODUCT(I$5:N$5,I14:N14)</f>
        <v>45</v>
      </c>
      <c r="Q14" s="64" t="n">
        <f aca="false">IFERROR(IF(P14&gt;0,MROUND(TRUNC(100*SUMPRODUCT(B$5:N$5,B14:N14)/MAX(P$50:P$51)),5),MROUND(TRUNC(100*SUMPRODUCT(B$5:N$5,B14:N14)/MAX(P$50:P$51)),-5)),0)</f>
        <v>15</v>
      </c>
      <c r="S14" s="65"/>
      <c r="T14" s="66"/>
      <c r="U14" s="67" t="n">
        <f aca="false">Q14+S14</f>
        <v>15</v>
      </c>
      <c r="W14" s="71" t="n">
        <f aca="false">IF(U14&gt;=75,4,IF(U14&gt;=50,3,IF(U14&gt;=25,2,1)))</f>
        <v>1</v>
      </c>
      <c r="X14" s="69" t="n">
        <f aca="false">W14</f>
        <v>1</v>
      </c>
      <c r="Y14" s="70"/>
    </row>
    <row r="15" customFormat="false" ht="27" hidden="false" customHeight="true" outlineLevel="0" collapsed="false">
      <c r="A15" s="72" t="s">
        <v>61</v>
      </c>
      <c r="B15" s="60" t="n">
        <f aca="false">DF1!D31</f>
        <v>-10</v>
      </c>
      <c r="C15" s="60" t="n">
        <f aca="false">DF2!D40</f>
        <v>0</v>
      </c>
      <c r="D15" s="60" t="n">
        <f aca="false">DF3!D44</f>
        <v>5</v>
      </c>
      <c r="E15" s="60" t="n">
        <f aca="false">DF4!D40</f>
        <v>-5</v>
      </c>
      <c r="F15" s="61" t="n">
        <f aca="false">SUMPRODUCT(B$5:E$5,B15:E15)</f>
        <v>-10</v>
      </c>
      <c r="G15" s="62" t="n">
        <f aca="false">IFERROR(IF(F15&gt;=0,MROUND(TRUNC(100*SUMPRODUCT(B$5:E$5,B15:E15)/MAX(F$50:F$51)),5),MROUND(TRUNC(100*SUMPRODUCT(B$5:E$5,B15:E15)/MAX(F$50:F$51)),-5)),0)</f>
        <v>-10</v>
      </c>
      <c r="I15" s="60" t="n">
        <f aca="false">DF5!D39</f>
        <v>0</v>
      </c>
      <c r="J15" s="60" t="n">
        <f aca="false">DF6!D39</f>
        <v>0</v>
      </c>
      <c r="K15" s="60" t="n">
        <f aca="false">DF7!D41</f>
        <v>5</v>
      </c>
      <c r="L15" s="60" t="n">
        <f aca="false">DF8!D41</f>
        <v>0</v>
      </c>
      <c r="M15" s="60" t="n">
        <f aca="false">DF9!D37</f>
        <v>0</v>
      </c>
      <c r="N15" s="60" t="n">
        <f aca="false">DF10!D31</f>
        <v>-5</v>
      </c>
      <c r="O15" s="60" t="n">
        <v>0</v>
      </c>
      <c r="P15" s="63" t="n">
        <f aca="false">SUMPRODUCT(B$5:E$5,B15:E15)+SUMPRODUCT(I$5:N$5,I15:N15)</f>
        <v>-10</v>
      </c>
      <c r="Q15" s="64" t="n">
        <f aca="false">IFERROR(IF(P15&gt;0,MROUND(TRUNC(100*SUMPRODUCT(B$5:N$5,B15:N15)/MAX(P$50:P$51)),5),MROUND(TRUNC(100*SUMPRODUCT(B$5:N$5,B15:N15)/MAX(P$50:P$51)),-5)),0)</f>
        <v>-5</v>
      </c>
      <c r="S15" s="65"/>
      <c r="T15" s="66"/>
      <c r="U15" s="67" t="n">
        <f aca="false">Q15+S15</f>
        <v>-5</v>
      </c>
      <c r="W15" s="71" t="n">
        <f aca="false">IF(U15&gt;=75,4,IF(U15&gt;=50,3,IF(U15&gt;=25,2,1)))</f>
        <v>1</v>
      </c>
      <c r="X15" s="69" t="n">
        <f aca="false">W15</f>
        <v>1</v>
      </c>
      <c r="Y15" s="70"/>
    </row>
    <row r="16" customFormat="false" ht="27" hidden="false" customHeight="true" outlineLevel="0" collapsed="false">
      <c r="A16" s="72" t="s">
        <v>62</v>
      </c>
      <c r="B16" s="60" t="n">
        <f aca="false">DF1!D32</f>
        <v>-20</v>
      </c>
      <c r="C16" s="60" t="n">
        <f aca="false">DF2!D41</f>
        <v>-10</v>
      </c>
      <c r="D16" s="60" t="n">
        <f aca="false">DF3!D45</f>
        <v>-15</v>
      </c>
      <c r="E16" s="60" t="n">
        <f aca="false">DF4!D41</f>
        <v>-15</v>
      </c>
      <c r="F16" s="61" t="n">
        <f aca="false">SUMPRODUCT(B$5:E$5,B16:E16)</f>
        <v>-60</v>
      </c>
      <c r="G16" s="62" t="n">
        <f aca="false">IFERROR(IF(F16&gt;=0,MROUND(TRUNC(100*SUMPRODUCT(B$5:E$5,B16:E16)/MAX(F$50:F$51)),5),MROUND(TRUNC(100*SUMPRODUCT(B$5:E$5,B16:E16)/MAX(F$50:F$51)),-5)),0)</f>
        <v>-60</v>
      </c>
      <c r="I16" s="60" t="n">
        <f aca="false">DF5!D40</f>
        <v>0</v>
      </c>
      <c r="J16" s="60" t="n">
        <f aca="false">DF6!D40</f>
        <v>0</v>
      </c>
      <c r="K16" s="60" t="n">
        <f aca="false">DF7!D42</f>
        <v>10</v>
      </c>
      <c r="L16" s="60" t="n">
        <f aca="false">DF8!D42</f>
        <v>0</v>
      </c>
      <c r="M16" s="60" t="n">
        <f aca="false">DF9!D38</f>
        <v>0</v>
      </c>
      <c r="N16" s="60" t="n">
        <f aca="false">DF10!D32</f>
        <v>0</v>
      </c>
      <c r="O16" s="60" t="n">
        <v>0</v>
      </c>
      <c r="P16" s="63" t="n">
        <f aca="false">SUMPRODUCT(B$5:E$5,B16:E16)+SUMPRODUCT(I$5:N$5,I16:N16)</f>
        <v>-50</v>
      </c>
      <c r="Q16" s="64" t="n">
        <f aca="false">IFERROR(IF(P16&gt;0,MROUND(TRUNC(100*SUMPRODUCT(B$5:N$5,B16:N16)/MAX(P$50:P$51)),5),MROUND(TRUNC(100*SUMPRODUCT(B$5:N$5,B16:N16)/MAX(P$50:P$51)),-5)),0)</f>
        <v>-15</v>
      </c>
      <c r="S16" s="65"/>
      <c r="T16" s="66"/>
      <c r="U16" s="67" t="n">
        <f aca="false">Q16+S16</f>
        <v>-15</v>
      </c>
      <c r="W16" s="71" t="n">
        <f aca="false">IF(U16&gt;=75,4,IF(U16&gt;=50,3,IF(U16&gt;=25,2,1)))</f>
        <v>1</v>
      </c>
      <c r="X16" s="69" t="n">
        <f aca="false">W16</f>
        <v>1</v>
      </c>
      <c r="Y16" s="70"/>
    </row>
    <row r="17" customFormat="false" ht="27" hidden="false" customHeight="true" outlineLevel="0" collapsed="false">
      <c r="A17" s="72" t="s">
        <v>63</v>
      </c>
      <c r="B17" s="60" t="n">
        <f aca="false">DF1!D33</f>
        <v>-15</v>
      </c>
      <c r="C17" s="60" t="n">
        <f aca="false">DF2!D42</f>
        <v>-5</v>
      </c>
      <c r="D17" s="60" t="n">
        <f aca="false">DF3!D46</f>
        <v>-5</v>
      </c>
      <c r="E17" s="60" t="n">
        <f aca="false">DF4!D42</f>
        <v>0</v>
      </c>
      <c r="F17" s="61" t="n">
        <f aca="false">SUMPRODUCT(B$5:E$5,B17:E17)</f>
        <v>-25</v>
      </c>
      <c r="G17" s="62" t="n">
        <f aca="false">IFERROR(IF(F17&gt;=0,MROUND(TRUNC(100*SUMPRODUCT(B$5:E$5,B17:E17)/MAX(F$50:F$51)),5),MROUND(TRUNC(100*SUMPRODUCT(B$5:E$5,B17:E17)/MAX(F$50:F$51)),-5)),0)</f>
        <v>-25</v>
      </c>
      <c r="I17" s="60" t="n">
        <f aca="false">DF5!D41</f>
        <v>50</v>
      </c>
      <c r="J17" s="60" t="n">
        <f aca="false">DF6!D41</f>
        <v>0</v>
      </c>
      <c r="K17" s="60" t="n">
        <f aca="false">DF7!D43</f>
        <v>5</v>
      </c>
      <c r="L17" s="60" t="n">
        <f aca="false">DF8!D43</f>
        <v>0</v>
      </c>
      <c r="M17" s="60" t="n">
        <f aca="false">DF9!D39</f>
        <v>0</v>
      </c>
      <c r="N17" s="60" t="n">
        <f aca="false">DF10!D33</f>
        <v>-5</v>
      </c>
      <c r="O17" s="60" t="n">
        <v>0</v>
      </c>
      <c r="P17" s="63" t="n">
        <f aca="false">SUMPRODUCT(B$5:E$5,B17:E17)+SUMPRODUCT(I$5:N$5,I17:N17)</f>
        <v>25</v>
      </c>
      <c r="Q17" s="64" t="n">
        <f aca="false">IFERROR(IF(P17&gt;0,MROUND(TRUNC(100*SUMPRODUCT(B$5:N$5,B17:N17)/MAX(P$50:P$51)),5),MROUND(TRUNC(100*SUMPRODUCT(B$5:N$5,B17:N17)/MAX(P$50:P$51)),-5)),0)</f>
        <v>10</v>
      </c>
      <c r="S17" s="65"/>
      <c r="T17" s="66"/>
      <c r="U17" s="67" t="n">
        <f aca="false">Q17+S17</f>
        <v>10</v>
      </c>
      <c r="W17" s="71" t="n">
        <f aca="false">IF(U17&gt;=75,4,IF(U17&gt;=50,3,IF(U17&gt;=25,2,1)))</f>
        <v>1</v>
      </c>
      <c r="X17" s="69" t="n">
        <f aca="false">W17</f>
        <v>1</v>
      </c>
      <c r="Y17" s="70"/>
    </row>
    <row r="18" customFormat="false" ht="27" hidden="false" customHeight="true" outlineLevel="0" collapsed="false">
      <c r="A18" s="72" t="s">
        <v>64</v>
      </c>
      <c r="B18" s="60" t="n">
        <f aca="false">DF1!D34</f>
        <v>25</v>
      </c>
      <c r="C18" s="60" t="n">
        <f aca="false">DF2!D43</f>
        <v>-5</v>
      </c>
      <c r="D18" s="60" t="n">
        <f aca="false">DF3!D47</f>
        <v>20</v>
      </c>
      <c r="E18" s="60" t="n">
        <f aca="false">DF4!D43</f>
        <v>-10</v>
      </c>
      <c r="F18" s="61" t="n">
        <f aca="false">SUMPRODUCT(B$5:E$5,B18:E18)</f>
        <v>30</v>
      </c>
      <c r="G18" s="62" t="n">
        <f aca="false">IFERROR(IF(F18&gt;=0,MROUND(TRUNC(100*SUMPRODUCT(B$5:E$5,B18:E18)/MAX(F$50:F$51)),5),MROUND(TRUNC(100*SUMPRODUCT(B$5:E$5,B18:E18)/MAX(F$50:F$51)),-5)),0)</f>
        <v>30</v>
      </c>
      <c r="I18" s="60" t="n">
        <f aca="false">DF5!D42</f>
        <v>0</v>
      </c>
      <c r="J18" s="60" t="n">
        <f aca="false">DF6!D42</f>
        <v>0</v>
      </c>
      <c r="K18" s="60" t="n">
        <f aca="false">DF7!D44</f>
        <v>5</v>
      </c>
      <c r="L18" s="60" t="n">
        <f aca="false">DF8!D44</f>
        <v>0</v>
      </c>
      <c r="M18" s="60" t="n">
        <f aca="false">DF9!D40</f>
        <v>0</v>
      </c>
      <c r="N18" s="60" t="n">
        <f aca="false">DF10!D34</f>
        <v>-5</v>
      </c>
      <c r="O18" s="60" t="n">
        <v>0</v>
      </c>
      <c r="P18" s="63" t="n">
        <f aca="false">SUMPRODUCT(B$5:E$5,B18:E18)+SUMPRODUCT(I$5:N$5,I18:N18)</f>
        <v>30</v>
      </c>
      <c r="Q18" s="64" t="n">
        <f aca="false">IFERROR(IF(P18&gt;0,MROUND(TRUNC(100*SUMPRODUCT(B$5:N$5,B18:N18)/MAX(P$50:P$51)),5),MROUND(TRUNC(100*SUMPRODUCT(B$5:N$5,B18:N18)/MAX(P$50:P$51)),-5)),0)</f>
        <v>10</v>
      </c>
      <c r="S18" s="65"/>
      <c r="T18" s="66"/>
      <c r="U18" s="67" t="n">
        <f aca="false">Q18+S18</f>
        <v>10</v>
      </c>
      <c r="W18" s="71" t="n">
        <f aca="false">IF(U18&gt;=75,4,IF(U18&gt;=50,3,IF(U18&gt;=25,2,1)))</f>
        <v>1</v>
      </c>
      <c r="X18" s="69" t="n">
        <f aca="false">W18</f>
        <v>1</v>
      </c>
      <c r="Y18" s="70"/>
    </row>
    <row r="19" customFormat="false" ht="27" hidden="false" customHeight="true" outlineLevel="0" collapsed="false">
      <c r="A19" s="72" t="s">
        <v>65</v>
      </c>
      <c r="B19" s="60" t="n">
        <f aca="false">DF1!D35</f>
        <v>25</v>
      </c>
      <c r="C19" s="60" t="n">
        <f aca="false">DF2!D44</f>
        <v>0</v>
      </c>
      <c r="D19" s="60" t="n">
        <f aca="false">DF3!D48</f>
        <v>10</v>
      </c>
      <c r="E19" s="60" t="n">
        <f aca="false">DF4!D44</f>
        <v>-5</v>
      </c>
      <c r="F19" s="61" t="n">
        <f aca="false">SUMPRODUCT(B$5:E$5,B19:E19)</f>
        <v>30</v>
      </c>
      <c r="G19" s="62" t="n">
        <f aca="false">IFERROR(IF(F19&gt;=0,MROUND(TRUNC(100*SUMPRODUCT(B$5:E$5,B19:E19)/MAX(F$50:F$51)),5),MROUND(TRUNC(100*SUMPRODUCT(B$5:E$5,B19:E19)/MAX(F$50:F$51)),-5)),0)</f>
        <v>30</v>
      </c>
      <c r="I19" s="60" t="n">
        <f aca="false">DF5!D43</f>
        <v>50</v>
      </c>
      <c r="J19" s="60" t="n">
        <f aca="false">DF6!D43</f>
        <v>0</v>
      </c>
      <c r="K19" s="60" t="n">
        <f aca="false">DF7!D45</f>
        <v>10</v>
      </c>
      <c r="L19" s="60" t="n">
        <f aca="false">DF8!D45</f>
        <v>-25</v>
      </c>
      <c r="M19" s="60" t="n">
        <f aca="false">DF9!D41</f>
        <v>0</v>
      </c>
      <c r="N19" s="60" t="n">
        <f aca="false">DF10!D35</f>
        <v>0</v>
      </c>
      <c r="O19" s="60" t="n">
        <v>0</v>
      </c>
      <c r="P19" s="63" t="n">
        <f aca="false">SUMPRODUCT(B$5:E$5,B19:E19)+SUMPRODUCT(I$5:N$5,I19:N19)</f>
        <v>65</v>
      </c>
      <c r="Q19" s="64" t="n">
        <f aca="false">IFERROR(IF(P19&gt;0,MROUND(TRUNC(100*SUMPRODUCT(B$5:N$5,B19:N19)/MAX(P$50:P$51)),5),MROUND(TRUNC(100*SUMPRODUCT(B$5:N$5,B19:N19)/MAX(P$50:P$51)),-5)),0)</f>
        <v>20</v>
      </c>
      <c r="S19" s="65"/>
      <c r="T19" s="66"/>
      <c r="U19" s="67" t="n">
        <f aca="false">Q19+S19</f>
        <v>20</v>
      </c>
      <c r="W19" s="71" t="n">
        <f aca="false">IF(U19&gt;=75,4,IF(U19&gt;=50,3,IF(U19&gt;=25,2,1)))</f>
        <v>1</v>
      </c>
      <c r="X19" s="69" t="n">
        <f aca="false">W19</f>
        <v>1</v>
      </c>
      <c r="Y19" s="70"/>
    </row>
    <row r="20" customFormat="false" ht="27" hidden="false" customHeight="true" outlineLevel="0" collapsed="false">
      <c r="A20" s="72" t="s">
        <v>66</v>
      </c>
      <c r="B20" s="60" t="n">
        <f aca="false">DF1!D36</f>
        <v>-5</v>
      </c>
      <c r="C20" s="60" t="n">
        <f aca="false">DF2!D45</f>
        <v>0</v>
      </c>
      <c r="D20" s="60" t="n">
        <f aca="false">DF3!D49</f>
        <v>0</v>
      </c>
      <c r="E20" s="60" t="n">
        <f aca="false">DF4!D45</f>
        <v>0</v>
      </c>
      <c r="F20" s="61" t="n">
        <f aca="false">SUMPRODUCT(B$5:E$5,B20:E20)</f>
        <v>-5</v>
      </c>
      <c r="G20" s="62" t="n">
        <f aca="false">IFERROR(IF(F20&gt;=0,MROUND(TRUNC(100*SUMPRODUCT(B$5:E$5,B20:E20)/MAX(F$50:F$51)),5),MROUND(TRUNC(100*SUMPRODUCT(B$5:E$5,B20:E20)/MAX(F$50:F$51)),-5)),0)</f>
        <v>-5</v>
      </c>
      <c r="I20" s="60" t="n">
        <f aca="false">DF5!D44</f>
        <v>80</v>
      </c>
      <c r="J20" s="60" t="n">
        <f aca="false">DF6!D44</f>
        <v>50</v>
      </c>
      <c r="K20" s="60" t="n">
        <f aca="false">DF7!D46</f>
        <v>10</v>
      </c>
      <c r="L20" s="60" t="n">
        <f aca="false">DF8!D46</f>
        <v>-25</v>
      </c>
      <c r="M20" s="60" t="n">
        <f aca="false">DF9!D42</f>
        <v>0</v>
      </c>
      <c r="N20" s="60" t="n">
        <f aca="false">DF10!D36</f>
        <v>-5</v>
      </c>
      <c r="O20" s="60" t="n">
        <v>0</v>
      </c>
      <c r="P20" s="63" t="n">
        <f aca="false">SUMPRODUCT(B$5:E$5,B20:E20)+SUMPRODUCT(I$5:N$5,I20:N20)</f>
        <v>105</v>
      </c>
      <c r="Q20" s="64" t="n">
        <f aca="false">IFERROR(IF(P20&gt;0,MROUND(TRUNC(100*SUMPRODUCT(B$5:N$5,B20:N20)/MAX(P$50:P$51)),5),MROUND(TRUNC(100*SUMPRODUCT(B$5:N$5,B20:N20)/MAX(P$50:P$51)),-5)),0)</f>
        <v>35</v>
      </c>
      <c r="S20" s="65"/>
      <c r="T20" s="66"/>
      <c r="U20" s="67" t="n">
        <f aca="false">Q20+S20</f>
        <v>35</v>
      </c>
      <c r="W20" s="71" t="n">
        <f aca="false">IF(U20&gt;=75,4,IF(U20&gt;=50,3,IF(U20&gt;=25,2,1)))</f>
        <v>2</v>
      </c>
      <c r="X20" s="69" t="n">
        <f aca="false">W20</f>
        <v>2</v>
      </c>
      <c r="Y20" s="70"/>
    </row>
    <row r="21" customFormat="false" ht="27" hidden="false" customHeight="true" outlineLevel="0" collapsed="false">
      <c r="A21" s="72" t="s">
        <v>67</v>
      </c>
      <c r="B21" s="60" t="n">
        <f aca="false">DF1!D37</f>
        <v>30</v>
      </c>
      <c r="C21" s="60" t="n">
        <f aca="false">DF2!D46</f>
        <v>-5</v>
      </c>
      <c r="D21" s="60" t="n">
        <f aca="false">DF3!D50</f>
        <v>25</v>
      </c>
      <c r="E21" s="60" t="n">
        <f aca="false">DF4!D46</f>
        <v>10</v>
      </c>
      <c r="F21" s="61" t="n">
        <f aca="false">SUMPRODUCT(B$5:E$5,B21:E21)</f>
        <v>60</v>
      </c>
      <c r="G21" s="62" t="n">
        <f aca="false">IFERROR(IF(F21&gt;=0,MROUND(TRUNC(100*SUMPRODUCT(B$5:E$5,B21:E21)/MAX(F$50:F$51)),5),MROUND(TRUNC(100*SUMPRODUCT(B$5:E$5,B21:E21)/MAX(F$50:F$51)),-5)),0)</f>
        <v>60</v>
      </c>
      <c r="I21" s="60" t="n">
        <f aca="false">DF5!D45</f>
        <v>50</v>
      </c>
      <c r="J21" s="60" t="n">
        <f aca="false">DF6!D45</f>
        <v>0</v>
      </c>
      <c r="K21" s="60" t="n">
        <f aca="false">DF7!D47</f>
        <v>5</v>
      </c>
      <c r="L21" s="60" t="n">
        <f aca="false">DF8!D47</f>
        <v>0</v>
      </c>
      <c r="M21" s="60" t="n">
        <f aca="false">DF9!D43</f>
        <v>0</v>
      </c>
      <c r="N21" s="60" t="n">
        <f aca="false">DF10!D37</f>
        <v>0</v>
      </c>
      <c r="O21" s="60" t="n">
        <v>0</v>
      </c>
      <c r="P21" s="63" t="n">
        <f aca="false">SUMPRODUCT(B$5:E$5,B21:E21)+SUMPRODUCT(I$5:N$5,I21:N21)</f>
        <v>115</v>
      </c>
      <c r="Q21" s="64" t="n">
        <f aca="false">IFERROR(IF(P21&gt;0,MROUND(TRUNC(100*SUMPRODUCT(B$5:N$5,B21:N21)/MAX(P$50:P$51)),5),MROUND(TRUNC(100*SUMPRODUCT(B$5:N$5,B21:N21)/MAX(P$50:P$51)),-5)),0)</f>
        <v>40</v>
      </c>
      <c r="S21" s="65"/>
      <c r="T21" s="66"/>
      <c r="U21" s="67" t="n">
        <f aca="false">Q21+S21</f>
        <v>40</v>
      </c>
      <c r="W21" s="71" t="n">
        <f aca="false">IF(U21&gt;=75,4,IF(U21&gt;=50,3,IF(U21&gt;=25,2,1)))</f>
        <v>2</v>
      </c>
      <c r="X21" s="69" t="n">
        <f aca="false">W21</f>
        <v>2</v>
      </c>
      <c r="Y21" s="70"/>
    </row>
    <row r="22" customFormat="false" ht="27" hidden="false" customHeight="true" outlineLevel="0" collapsed="false">
      <c r="A22" s="72" t="s">
        <v>68</v>
      </c>
      <c r="B22" s="60" t="n">
        <f aca="false">DF1!D38</f>
        <v>20</v>
      </c>
      <c r="C22" s="60" t="n">
        <f aca="false">DF2!D47</f>
        <v>35</v>
      </c>
      <c r="D22" s="60" t="n">
        <f aca="false">DF3!D51</f>
        <v>25</v>
      </c>
      <c r="E22" s="60" t="n">
        <f aca="false">DF4!D47</f>
        <v>5</v>
      </c>
      <c r="F22" s="61" t="n">
        <f aca="false">SUMPRODUCT(B$5:E$5,B22:E22)</f>
        <v>85</v>
      </c>
      <c r="G22" s="62" t="n">
        <f aca="false">IFERROR(IF(F22&gt;=0,MROUND(TRUNC(100*SUMPRODUCT(B$5:E$5,B22:E22)/MAX(F$50:F$51)),5),MROUND(TRUNC(100*SUMPRODUCT(B$5:E$5,B22:E22)/MAX(F$50:F$51)),-5)),0)</f>
        <v>85</v>
      </c>
      <c r="I22" s="60" t="n">
        <f aca="false">DF5!D46</f>
        <v>100</v>
      </c>
      <c r="J22" s="60" t="n">
        <f aca="false">DF6!D46</f>
        <v>100</v>
      </c>
      <c r="K22" s="60" t="n">
        <f aca="false">DF7!D48</f>
        <v>20</v>
      </c>
      <c r="L22" s="60" t="n">
        <f aca="false">DF8!D48</f>
        <v>-15</v>
      </c>
      <c r="M22" s="60" t="n">
        <f aca="false">DF9!D44</f>
        <v>0</v>
      </c>
      <c r="N22" s="60" t="n">
        <f aca="false">DF10!D38</f>
        <v>0</v>
      </c>
      <c r="O22" s="60" t="n">
        <v>0</v>
      </c>
      <c r="P22" s="63" t="n">
        <f aca="false">SUMPRODUCT(B$5:E$5,B22:E22)+SUMPRODUCT(I$5:N$5,I22:N22)</f>
        <v>290</v>
      </c>
      <c r="Q22" s="64" t="n">
        <f aca="false">IFERROR(IF(P22&gt;0,MROUND(TRUNC(100*SUMPRODUCT(B$5:N$5,B22:N22)/MAX(P$50:P$51)),5),MROUND(TRUNC(100*SUMPRODUCT(B$5:N$5,B22:N22)/MAX(P$50:P$51)),-5)),0)</f>
        <v>100</v>
      </c>
      <c r="S22" s="65"/>
      <c r="T22" s="66"/>
      <c r="U22" s="67" t="n">
        <f aca="false">Q22+S22</f>
        <v>100</v>
      </c>
      <c r="W22" s="71" t="n">
        <f aca="false">IF(U22&gt;=75,4,IF(U22&gt;=50,3,IF(U22&gt;=25,2,1)))</f>
        <v>4</v>
      </c>
      <c r="X22" s="69" t="n">
        <f aca="false">W22</f>
        <v>4</v>
      </c>
      <c r="Y22" s="70"/>
    </row>
    <row r="23" customFormat="false" ht="27" hidden="false" customHeight="true" outlineLevel="0" collapsed="false">
      <c r="A23" s="72" t="s">
        <v>69</v>
      </c>
      <c r="B23" s="60" t="n">
        <f aca="false">DF1!D39</f>
        <v>20</v>
      </c>
      <c r="C23" s="60" t="n">
        <f aca="false">DF2!D48</f>
        <v>25</v>
      </c>
      <c r="D23" s="60" t="n">
        <f aca="false">DF3!D52</f>
        <v>45</v>
      </c>
      <c r="E23" s="60" t="n">
        <f aca="false">DF4!D48</f>
        <v>10</v>
      </c>
      <c r="F23" s="61" t="n">
        <f aca="false">SUMPRODUCT(B$5:E$5,B23:E23)</f>
        <v>100</v>
      </c>
      <c r="G23" s="62" t="n">
        <f aca="false">IFERROR(IF(F23&gt;=0,MROUND(TRUNC(100*SUMPRODUCT(B$5:E$5,B23:E23)/MAX(F$50:F$51)),5),MROUND(TRUNC(100*SUMPRODUCT(B$5:E$5,B23:E23)/MAX(F$50:F$51)),-5)),0)</f>
        <v>100</v>
      </c>
      <c r="I23" s="60" t="n">
        <f aca="false">DF5!D47</f>
        <v>100</v>
      </c>
      <c r="J23" s="60" t="n">
        <f aca="false">DF6!D47</f>
        <v>50</v>
      </c>
      <c r="K23" s="60" t="n">
        <f aca="false">DF7!D49</f>
        <v>15</v>
      </c>
      <c r="L23" s="60" t="n">
        <f aca="false">DF8!D49</f>
        <v>0</v>
      </c>
      <c r="M23" s="60" t="n">
        <f aca="false">DF9!D45</f>
        <v>0</v>
      </c>
      <c r="N23" s="60" t="n">
        <f aca="false">DF10!D39</f>
        <v>0</v>
      </c>
      <c r="O23" s="60" t="n">
        <v>0</v>
      </c>
      <c r="P23" s="63" t="n">
        <f aca="false">SUMPRODUCT(B$5:E$5,B23:E23)+SUMPRODUCT(I$5:N$5,I23:N23)</f>
        <v>265</v>
      </c>
      <c r="Q23" s="64" t="n">
        <f aca="false">IFERROR(IF(P23&gt;0,MROUND(TRUNC(100*SUMPRODUCT(B$5:N$5,B23:N23)/MAX(P$50:P$51)),5),MROUND(TRUNC(100*SUMPRODUCT(B$5:N$5,B23:N23)/MAX(P$50:P$51)),-5)),0)</f>
        <v>90</v>
      </c>
      <c r="S23" s="65"/>
      <c r="T23" s="66"/>
      <c r="U23" s="67" t="n">
        <f aca="false">Q23+S23</f>
        <v>90</v>
      </c>
      <c r="W23" s="71" t="n">
        <f aca="false">IF(U23&gt;=75,4,IF(U23&gt;=50,3,IF(U23&gt;=25,2,1)))</f>
        <v>4</v>
      </c>
      <c r="X23" s="69" t="n">
        <f aca="false">W23</f>
        <v>4</v>
      </c>
      <c r="Y23" s="70"/>
    </row>
    <row r="24" customFormat="false" ht="27" hidden="false" customHeight="true" outlineLevel="0" collapsed="false">
      <c r="A24" s="72" t="s">
        <v>70</v>
      </c>
      <c r="B24" s="60" t="n">
        <f aca="false">DF1!D40</f>
        <v>0</v>
      </c>
      <c r="C24" s="60" t="n">
        <f aca="false">DF2!D49</f>
        <v>-5</v>
      </c>
      <c r="D24" s="60" t="n">
        <f aca="false">DF3!D53</f>
        <v>10</v>
      </c>
      <c r="E24" s="60" t="n">
        <f aca="false">DF4!D49</f>
        <v>10</v>
      </c>
      <c r="F24" s="61" t="n">
        <f aca="false">SUMPRODUCT(B$5:E$5,B24:E24)</f>
        <v>15</v>
      </c>
      <c r="G24" s="62" t="n">
        <f aca="false">IFERROR(IF(F24&gt;=0,MROUND(TRUNC(100*SUMPRODUCT(B$5:E$5,B24:E24)/MAX(F$50:F$51)),5),MROUND(TRUNC(100*SUMPRODUCT(B$5:E$5,B24:E24)/MAX(F$50:F$51)),-5)),0)</f>
        <v>15</v>
      </c>
      <c r="I24" s="60" t="n">
        <f aca="false">DF5!D48</f>
        <v>80</v>
      </c>
      <c r="J24" s="60" t="n">
        <f aca="false">DF6!D48</f>
        <v>35</v>
      </c>
      <c r="K24" s="60" t="n">
        <f aca="false">DF7!D50</f>
        <v>10</v>
      </c>
      <c r="L24" s="60" t="n">
        <f aca="false">DF8!D50</f>
        <v>0</v>
      </c>
      <c r="M24" s="60" t="n">
        <f aca="false">DF9!D46</f>
        <v>0</v>
      </c>
      <c r="N24" s="60" t="n">
        <f aca="false">DF10!D40</f>
        <v>0</v>
      </c>
      <c r="O24" s="60" t="n">
        <v>0</v>
      </c>
      <c r="P24" s="63" t="n">
        <f aca="false">SUMPRODUCT(B$5:E$5,B24:E24)+SUMPRODUCT(I$5:N$5,I24:N24)</f>
        <v>140</v>
      </c>
      <c r="Q24" s="64" t="n">
        <f aca="false">IFERROR(IF(P24&gt;0,MROUND(TRUNC(100*SUMPRODUCT(B$5:N$5,B24:N24)/MAX(P$50:P$51)),5),MROUND(TRUNC(100*SUMPRODUCT(B$5:N$5,B24:N24)/MAX(P$50:P$51)),-5)),0)</f>
        <v>50</v>
      </c>
      <c r="S24" s="65"/>
      <c r="T24" s="66"/>
      <c r="U24" s="67" t="n">
        <f aca="false">Q24+S24</f>
        <v>50</v>
      </c>
      <c r="W24" s="71" t="n">
        <f aca="false">IF(U24&gt;=75,4,IF(U24&gt;=50,3,IF(U24&gt;=25,2,1)))</f>
        <v>3</v>
      </c>
      <c r="X24" s="69" t="n">
        <f aca="false">W24</f>
        <v>3</v>
      </c>
      <c r="Y24" s="70"/>
    </row>
    <row r="25" customFormat="false" ht="27" hidden="false" customHeight="true" outlineLevel="0" collapsed="false">
      <c r="A25" s="59" t="s">
        <v>71</v>
      </c>
      <c r="B25" s="60" t="n">
        <f aca="false">DF1!D41</f>
        <v>-15</v>
      </c>
      <c r="C25" s="60" t="n">
        <f aca="false">DF2!D50</f>
        <v>-5</v>
      </c>
      <c r="D25" s="60" t="n">
        <f aca="false">DF3!D54</f>
        <v>15</v>
      </c>
      <c r="E25" s="60" t="n">
        <f aca="false">DF4!D50</f>
        <v>5</v>
      </c>
      <c r="F25" s="61" t="n">
        <f aca="false">SUMPRODUCT(B$5:E$5,B25:E25)</f>
        <v>0</v>
      </c>
      <c r="G25" s="62" t="n">
        <f aca="false">IFERROR(IF(F25&gt;=0,MROUND(TRUNC(100*SUMPRODUCT(B$5:E$5,B25:E25)/MAX(F$50:F$51)),5),MROUND(TRUNC(100*SUMPRODUCT(B$5:E$5,B25:E25)/MAX(F$50:F$51)),-5)),0)</f>
        <v>0</v>
      </c>
      <c r="I25" s="60" t="n">
        <f aca="false">DF5!D49</f>
        <v>0</v>
      </c>
      <c r="J25" s="60" t="n">
        <f aca="false">DF6!D49</f>
        <v>0</v>
      </c>
      <c r="K25" s="60" t="n">
        <f aca="false">DF7!D51</f>
        <v>5</v>
      </c>
      <c r="L25" s="60" t="n">
        <f aca="false">DF8!D51</f>
        <v>0</v>
      </c>
      <c r="M25" s="60" t="n">
        <f aca="false">DF9!D47</f>
        <v>0</v>
      </c>
      <c r="N25" s="60" t="n">
        <f aca="false">DF10!D41</f>
        <v>0</v>
      </c>
      <c r="O25" s="60" t="n">
        <v>0</v>
      </c>
      <c r="P25" s="63" t="n">
        <f aca="false">SUMPRODUCT(B$5:E$5,B25:E25)+SUMPRODUCT(I$5:N$5,I25:N25)</f>
        <v>5</v>
      </c>
      <c r="Q25" s="64" t="n">
        <f aca="false">IFERROR(IF(P25&gt;0,MROUND(TRUNC(100*SUMPRODUCT(B$5:N$5,B25:N25)/MAX(P$50:P$51)),5),MROUND(TRUNC(100*SUMPRODUCT(B$5:N$5,B25:N25)/MAX(P$50:P$51)),-5)),0)</f>
        <v>0</v>
      </c>
      <c r="S25" s="65"/>
      <c r="T25" s="66"/>
      <c r="U25" s="67" t="n">
        <f aca="false">Q25+S25</f>
        <v>0</v>
      </c>
      <c r="W25" s="71" t="n">
        <f aca="false">IF(U25&gt;=75,4,IF(U25&gt;=50,3,IF(U25&gt;=25,2,1)))</f>
        <v>1</v>
      </c>
      <c r="X25" s="69" t="n">
        <f aca="false">W25</f>
        <v>1</v>
      </c>
      <c r="Y25" s="70"/>
    </row>
    <row r="26" customFormat="false" ht="27" hidden="false" customHeight="true" outlineLevel="0" collapsed="false">
      <c r="A26" s="59" t="s">
        <v>72</v>
      </c>
      <c r="B26" s="60" t="n">
        <f aca="false">DF1!D42</f>
        <v>-5</v>
      </c>
      <c r="C26" s="60" t="n">
        <f aca="false">DF2!D51</f>
        <v>0</v>
      </c>
      <c r="D26" s="60" t="n">
        <f aca="false">DF3!D55</f>
        <v>20</v>
      </c>
      <c r="E26" s="60" t="n">
        <f aca="false">DF4!D51</f>
        <v>0</v>
      </c>
      <c r="F26" s="61" t="n">
        <f aca="false">SUMPRODUCT(B$5:E$5,B26:E26)</f>
        <v>15</v>
      </c>
      <c r="G26" s="62" t="n">
        <f aca="false">IFERROR(IF(F26&gt;=0,MROUND(TRUNC(100*SUMPRODUCT(B$5:E$5,B26:E26)/MAX(F$50:F$51)),5),MROUND(TRUNC(100*SUMPRODUCT(B$5:E$5,B26:E26)/MAX(F$50:F$51)),-5)),0)</f>
        <v>15</v>
      </c>
      <c r="I26" s="60" t="n">
        <f aca="false">DF5!D50</f>
        <v>0</v>
      </c>
      <c r="J26" s="60" t="n">
        <f aca="false">DF6!D50</f>
        <v>0</v>
      </c>
      <c r="K26" s="60" t="n">
        <f aca="false">DF7!D52</f>
        <v>0</v>
      </c>
      <c r="L26" s="60" t="n">
        <f aca="false">DF8!D52</f>
        <v>0</v>
      </c>
      <c r="M26" s="60" t="n">
        <f aca="false">DF9!D48</f>
        <v>5</v>
      </c>
      <c r="N26" s="60" t="n">
        <f aca="false">DF10!D42</f>
        <v>0</v>
      </c>
      <c r="O26" s="60" t="n">
        <v>0</v>
      </c>
      <c r="P26" s="63" t="n">
        <f aca="false">SUMPRODUCT(B$5:E$5,B26:E26)+SUMPRODUCT(I$5:N$5,I26:N26)</f>
        <v>20</v>
      </c>
      <c r="Q26" s="64" t="n">
        <f aca="false">IFERROR(IF(P26&gt;0,MROUND(TRUNC(100*SUMPRODUCT(B$5:N$5,B26:N26)/MAX(P$50:P$51)),5),MROUND(TRUNC(100*SUMPRODUCT(B$5:N$5,B26:N26)/MAX(P$50:P$51)),-5)),0)</f>
        <v>5</v>
      </c>
      <c r="S26" s="65"/>
      <c r="T26" s="66"/>
      <c r="U26" s="67" t="n">
        <f aca="false">Q26+S26</f>
        <v>5</v>
      </c>
      <c r="W26" s="71" t="n">
        <f aca="false">IF(U26&gt;=75,4,IF(U26&gt;=50,3,IF(U26&gt;=25,2,1)))</f>
        <v>1</v>
      </c>
      <c r="X26" s="69" t="n">
        <f aca="false">W26</f>
        <v>1</v>
      </c>
      <c r="Y26" s="70"/>
    </row>
    <row r="27" customFormat="false" ht="27" hidden="false" customHeight="true" outlineLevel="0" collapsed="false">
      <c r="A27" s="59" t="s">
        <v>73</v>
      </c>
      <c r="B27" s="60" t="n">
        <f aca="false">DF1!D43</f>
        <v>-5</v>
      </c>
      <c r="C27" s="60" t="n">
        <f aca="false">DF2!D52</f>
        <v>0</v>
      </c>
      <c r="D27" s="60" t="n">
        <f aca="false">DF3!D56</f>
        <v>25</v>
      </c>
      <c r="E27" s="60" t="n">
        <f aca="false">DF4!D52</f>
        <v>0</v>
      </c>
      <c r="F27" s="61" t="n">
        <f aca="false">SUMPRODUCT(B$5:E$5,B27:E27)</f>
        <v>20</v>
      </c>
      <c r="G27" s="62" t="n">
        <f aca="false">IFERROR(IF(F27&gt;=0,MROUND(TRUNC(100*SUMPRODUCT(B$5:E$5,B27:E27)/MAX(F$50:F$51)),5),MROUND(TRUNC(100*SUMPRODUCT(B$5:E$5,B27:E27)/MAX(F$50:F$51)),-5)),0)</f>
        <v>20</v>
      </c>
      <c r="I27" s="60" t="n">
        <f aca="false">DF5!D51</f>
        <v>0</v>
      </c>
      <c r="J27" s="60" t="n">
        <f aca="false">DF6!D51</f>
        <v>0</v>
      </c>
      <c r="K27" s="60" t="n">
        <f aca="false">DF7!D53</f>
        <v>0</v>
      </c>
      <c r="L27" s="60" t="n">
        <f aca="false">DF8!D53</f>
        <v>0</v>
      </c>
      <c r="M27" s="60" t="n">
        <f aca="false">DF9!D49</f>
        <v>5</v>
      </c>
      <c r="N27" s="60" t="n">
        <f aca="false">DF10!D43</f>
        <v>-5</v>
      </c>
      <c r="O27" s="60" t="n">
        <v>0</v>
      </c>
      <c r="P27" s="63" t="n">
        <f aca="false">SUMPRODUCT(B$5:E$5,B27:E27)+SUMPRODUCT(I$5:N$5,I27:N27)</f>
        <v>20</v>
      </c>
      <c r="Q27" s="64" t="n">
        <f aca="false">IFERROR(IF(P27&gt;0,MROUND(TRUNC(100*SUMPRODUCT(B$5:N$5,B27:N27)/MAX(P$50:P$51)),5),MROUND(TRUNC(100*SUMPRODUCT(B$5:N$5,B27:N27)/MAX(P$50:P$51)),-5)),0)</f>
        <v>5</v>
      </c>
      <c r="S27" s="65"/>
      <c r="T27" s="66"/>
      <c r="U27" s="67" t="n">
        <f aca="false">Q27+S27</f>
        <v>5</v>
      </c>
      <c r="W27" s="71" t="n">
        <f aca="false">IF(U27&gt;=75,4,IF(U27&gt;=50,3,IF(U27&gt;=25,2,1)))</f>
        <v>1</v>
      </c>
      <c r="X27" s="69" t="n">
        <f aca="false">W27</f>
        <v>1</v>
      </c>
      <c r="Y27" s="70"/>
    </row>
    <row r="28" customFormat="false" ht="27" hidden="false" customHeight="true" outlineLevel="0" collapsed="false">
      <c r="A28" s="59" t="s">
        <v>74</v>
      </c>
      <c r="B28" s="60" t="n">
        <f aca="false">DF1!D44</f>
        <v>20</v>
      </c>
      <c r="C28" s="60" t="n">
        <f aca="false">DF2!D53</f>
        <v>5</v>
      </c>
      <c r="D28" s="60" t="n">
        <f aca="false">DF3!D57</f>
        <v>20</v>
      </c>
      <c r="E28" s="60" t="n">
        <f aca="false">DF4!D53</f>
        <v>0</v>
      </c>
      <c r="F28" s="61" t="n">
        <f aca="false">SUMPRODUCT(B$5:E$5,B28:E28)</f>
        <v>45</v>
      </c>
      <c r="G28" s="62" t="n">
        <f aca="false">IFERROR(IF(F28&gt;=0,MROUND(TRUNC(100*SUMPRODUCT(B$5:E$5,B28:E28)/MAX(F$50:F$51)),5),MROUND(TRUNC(100*SUMPRODUCT(B$5:E$5,B28:E28)/MAX(F$50:F$51)),-5)),0)</f>
        <v>45</v>
      </c>
      <c r="I28" s="60" t="n">
        <f aca="false">DF5!D52</f>
        <v>50</v>
      </c>
      <c r="J28" s="60" t="n">
        <f aca="false">DF6!D52</f>
        <v>0</v>
      </c>
      <c r="K28" s="60" t="n">
        <f aca="false">DF7!D54</f>
        <v>10</v>
      </c>
      <c r="L28" s="60" t="n">
        <f aca="false">DF8!D54</f>
        <v>0</v>
      </c>
      <c r="M28" s="60" t="n">
        <f aca="false">DF9!D50</f>
        <v>0</v>
      </c>
      <c r="N28" s="60" t="n">
        <f aca="false">DF10!D44</f>
        <v>0</v>
      </c>
      <c r="O28" s="60" t="n">
        <v>0</v>
      </c>
      <c r="P28" s="63" t="n">
        <f aca="false">SUMPRODUCT(B$5:E$5,B28:E28)+SUMPRODUCT(I$5:N$5,I28:N28)</f>
        <v>105</v>
      </c>
      <c r="Q28" s="64" t="n">
        <f aca="false">IFERROR(IF(P28&gt;0,MROUND(TRUNC(100*SUMPRODUCT(B$5:N$5,B28:N28)/MAX(P$50:P$51)),5),MROUND(TRUNC(100*SUMPRODUCT(B$5:N$5,B28:N28)/MAX(P$50:P$51)),-5)),0)</f>
        <v>35</v>
      </c>
      <c r="S28" s="65"/>
      <c r="T28" s="66"/>
      <c r="U28" s="67" t="n">
        <f aca="false">Q28+S28</f>
        <v>35</v>
      </c>
      <c r="W28" s="71" t="n">
        <f aca="false">IF(U28&gt;=75,4,IF(U28&gt;=50,3,IF(U28&gt;=25,2,1)))</f>
        <v>2</v>
      </c>
      <c r="X28" s="69" t="n">
        <f aca="false">W28</f>
        <v>2</v>
      </c>
      <c r="Y28" s="70"/>
    </row>
    <row r="29" customFormat="false" ht="27" hidden="false" customHeight="true" outlineLevel="0" collapsed="false">
      <c r="A29" s="59" t="s">
        <v>75</v>
      </c>
      <c r="B29" s="60" t="n">
        <f aca="false">DF1!D45</f>
        <v>-15</v>
      </c>
      <c r="C29" s="60" t="n">
        <f aca="false">DF2!D54</f>
        <v>-10</v>
      </c>
      <c r="D29" s="60" t="n">
        <f aca="false">DF3!D58</f>
        <v>10</v>
      </c>
      <c r="E29" s="60" t="n">
        <f aca="false">DF4!D54</f>
        <v>5</v>
      </c>
      <c r="F29" s="61" t="n">
        <f aca="false">SUMPRODUCT(B$5:E$5,B29:E29)</f>
        <v>-10</v>
      </c>
      <c r="G29" s="62" t="n">
        <f aca="false">IFERROR(IF(F29&gt;=0,MROUND(TRUNC(100*SUMPRODUCT(B$5:E$5,B29:E29)/MAX(F$50:F$51)),5),MROUND(TRUNC(100*SUMPRODUCT(B$5:E$5,B29:E29)/MAX(F$50:F$51)),-5)),0)</f>
        <v>-10</v>
      </c>
      <c r="I29" s="60" t="n">
        <f aca="false">DF5!D53</f>
        <v>0</v>
      </c>
      <c r="J29" s="60" t="n">
        <f aca="false">DF6!D53</f>
        <v>0</v>
      </c>
      <c r="K29" s="60" t="n">
        <f aca="false">DF7!D55</f>
        <v>10</v>
      </c>
      <c r="L29" s="60" t="n">
        <f aca="false">DF8!D55</f>
        <v>0</v>
      </c>
      <c r="M29" s="60" t="n">
        <f aca="false">DF9!D51</f>
        <v>5</v>
      </c>
      <c r="N29" s="60" t="n">
        <f aca="false">DF10!D45</f>
        <v>0</v>
      </c>
      <c r="O29" s="60" t="n">
        <v>0</v>
      </c>
      <c r="P29" s="63" t="n">
        <f aca="false">SUMPRODUCT(B$5:E$5,B29:E29)+SUMPRODUCT(I$5:N$5,I29:N29)</f>
        <v>5</v>
      </c>
      <c r="Q29" s="64" t="n">
        <f aca="false">IFERROR(IF(P29&gt;0,MROUND(TRUNC(100*SUMPRODUCT(B$5:N$5,B29:N29)/MAX(P$50:P$51)),5),MROUND(TRUNC(100*SUMPRODUCT(B$5:N$5,B29:N29)/MAX(P$50:P$51)),-5)),0)</f>
        <v>0</v>
      </c>
      <c r="S29" s="65"/>
      <c r="T29" s="66"/>
      <c r="U29" s="67" t="n">
        <f aca="false">Q29+S29</f>
        <v>0</v>
      </c>
      <c r="W29" s="71" t="n">
        <f aca="false">IF(U29&gt;=75,4,IF(U29&gt;=50,3,IF(U29&gt;=25,2,1)))</f>
        <v>1</v>
      </c>
      <c r="X29" s="69" t="n">
        <f aca="false">W29</f>
        <v>1</v>
      </c>
      <c r="Y29" s="70"/>
    </row>
    <row r="30" customFormat="false" ht="27" hidden="false" customHeight="true" outlineLevel="0" collapsed="false">
      <c r="A30" s="59" t="s">
        <v>76</v>
      </c>
      <c r="B30" s="60" t="n">
        <f aca="false">DF1!D46</f>
        <v>0</v>
      </c>
      <c r="C30" s="60" t="n">
        <f aca="false">DF2!D55</f>
        <v>5</v>
      </c>
      <c r="D30" s="60" t="n">
        <f aca="false">DF3!D59</f>
        <v>40</v>
      </c>
      <c r="E30" s="60" t="n">
        <f aca="false">DF4!D55</f>
        <v>5</v>
      </c>
      <c r="F30" s="61" t="n">
        <f aca="false">SUMPRODUCT(B$5:E$5,B30:E30)</f>
        <v>50</v>
      </c>
      <c r="G30" s="62" t="n">
        <f aca="false">IFERROR(IF(F30&gt;=0,MROUND(TRUNC(100*SUMPRODUCT(B$5:E$5,B30:E30)/MAX(F$50:F$51)),5),MROUND(TRUNC(100*SUMPRODUCT(B$5:E$5,B30:E30)/MAX(F$50:F$51)),-5)),0)</f>
        <v>50</v>
      </c>
      <c r="I30" s="60" t="n">
        <f aca="false">DF5!D54</f>
        <v>80</v>
      </c>
      <c r="J30" s="60" t="n">
        <f aca="false">DF6!D54</f>
        <v>0</v>
      </c>
      <c r="K30" s="60" t="n">
        <f aca="false">DF7!D56</f>
        <v>15</v>
      </c>
      <c r="L30" s="60" t="n">
        <f aca="false">DF8!D56</f>
        <v>0</v>
      </c>
      <c r="M30" s="60" t="n">
        <f aca="false">DF9!D52</f>
        <v>5</v>
      </c>
      <c r="N30" s="60" t="n">
        <f aca="false">DF10!D46</f>
        <v>0</v>
      </c>
      <c r="O30" s="60" t="n">
        <v>0</v>
      </c>
      <c r="P30" s="63" t="n">
        <f aca="false">SUMPRODUCT(B$5:E$5,B30:E30)+SUMPRODUCT(I$5:N$5,I30:N30)</f>
        <v>150</v>
      </c>
      <c r="Q30" s="64" t="n">
        <f aca="false">IFERROR(IF(P30&gt;0,MROUND(TRUNC(100*SUMPRODUCT(B$5:N$5,B30:N30)/MAX(P$50:P$51)),5),MROUND(TRUNC(100*SUMPRODUCT(B$5:N$5,B30:N30)/MAX(P$50:P$51)),-5)),0)</f>
        <v>50</v>
      </c>
      <c r="S30" s="65"/>
      <c r="T30" s="66"/>
      <c r="U30" s="67" t="n">
        <f aca="false">Q30+S30</f>
        <v>50</v>
      </c>
      <c r="W30" s="71" t="n">
        <f aca="false">IF(U30&gt;=75,4,IF(U30&gt;=50,3,IF(U30&gt;=25,2,1)))</f>
        <v>3</v>
      </c>
      <c r="X30" s="69" t="n">
        <f aca="false">W30</f>
        <v>3</v>
      </c>
      <c r="Y30" s="70"/>
    </row>
    <row r="31" customFormat="false" ht="34.5" hidden="false" customHeight="true" outlineLevel="0" collapsed="false">
      <c r="A31" s="59" t="s">
        <v>77</v>
      </c>
      <c r="B31" s="60" t="n">
        <f aca="false">DF1!D47</f>
        <v>5</v>
      </c>
      <c r="C31" s="60" t="n">
        <f aca="false">DF2!D56</f>
        <v>5</v>
      </c>
      <c r="D31" s="60" t="n">
        <f aca="false">DF3!D60</f>
        <v>30</v>
      </c>
      <c r="E31" s="60" t="n">
        <f aca="false">DF4!D56</f>
        <v>10</v>
      </c>
      <c r="F31" s="61" t="n">
        <f aca="false">SUMPRODUCT(B$5:E$5,B31:E31)</f>
        <v>50</v>
      </c>
      <c r="G31" s="62" t="n">
        <f aca="false">IFERROR(IF(F31&gt;=0,MROUND(TRUNC(100*SUMPRODUCT(B$5:E$5,B31:E31)/MAX(F$50:F$51)),5),MROUND(TRUNC(100*SUMPRODUCT(B$5:E$5,B31:E31)/MAX(F$50:F$51)),-5)),0)</f>
        <v>50</v>
      </c>
      <c r="I31" s="60" t="n">
        <f aca="false">DF5!D55</f>
        <v>0</v>
      </c>
      <c r="J31" s="60" t="n">
        <f aca="false">DF6!D55</f>
        <v>0</v>
      </c>
      <c r="K31" s="60" t="n">
        <f aca="false">DF7!D57</f>
        <v>0</v>
      </c>
      <c r="L31" s="60" t="n">
        <f aca="false">DF8!D57</f>
        <v>0</v>
      </c>
      <c r="M31" s="60" t="n">
        <f aca="false">DF9!D53</f>
        <v>0</v>
      </c>
      <c r="N31" s="60" t="n">
        <f aca="false">DF10!D47</f>
        <v>0</v>
      </c>
      <c r="O31" s="60" t="n">
        <v>0</v>
      </c>
      <c r="P31" s="63" t="n">
        <f aca="false">SUMPRODUCT(B$5:E$5,B31:E31)+SUMPRODUCT(I$5:N$5,I31:N31)</f>
        <v>50</v>
      </c>
      <c r="Q31" s="64" t="n">
        <f aca="false">IFERROR(IF(P31&gt;0,MROUND(TRUNC(100*SUMPRODUCT(B$5:N$5,B31:N31)/MAX(P$50:P$51)),5),MROUND(TRUNC(100*SUMPRODUCT(B$5:N$5,B31:N31)/MAX(P$50:P$51)),-5)),0)</f>
        <v>15</v>
      </c>
      <c r="S31" s="65"/>
      <c r="T31" s="66"/>
      <c r="U31" s="67" t="n">
        <f aca="false">Q31+S31</f>
        <v>15</v>
      </c>
      <c r="W31" s="71" t="n">
        <f aca="false">IF(U31&gt;=75,4,IF(U31&gt;=50,3,IF(U31&gt;=25,2,1)))</f>
        <v>1</v>
      </c>
      <c r="X31" s="69" t="n">
        <f aca="false">W31</f>
        <v>1</v>
      </c>
      <c r="Y31" s="70"/>
    </row>
    <row r="32" customFormat="false" ht="27" hidden="false" customHeight="true" outlineLevel="0" collapsed="false">
      <c r="A32" s="59" t="s">
        <v>78</v>
      </c>
      <c r="B32" s="60" t="n">
        <f aca="false">DF1!D48</f>
        <v>15</v>
      </c>
      <c r="C32" s="60" t="n">
        <f aca="false">DF2!D57</f>
        <v>-5</v>
      </c>
      <c r="D32" s="60" t="n">
        <f aca="false">DF3!D61</f>
        <v>10</v>
      </c>
      <c r="E32" s="60" t="n">
        <f aca="false">DF4!D57</f>
        <v>10</v>
      </c>
      <c r="F32" s="61" t="n">
        <f aca="false">SUMPRODUCT(B$5:E$5,B32:E32)</f>
        <v>30</v>
      </c>
      <c r="G32" s="62" t="n">
        <f aca="false">IFERROR(IF(F32&gt;=0,MROUND(TRUNC(100*SUMPRODUCT(B$5:E$5,B32:E32)/MAX(F$50:F$51)),5),MROUND(TRUNC(100*SUMPRODUCT(B$5:E$5,B32:E32)/MAX(F$50:F$51)),-5)),0)</f>
        <v>30</v>
      </c>
      <c r="I32" s="60" t="n">
        <f aca="false">DF5!D56</f>
        <v>0</v>
      </c>
      <c r="J32" s="60" t="n">
        <f aca="false">DF6!D56</f>
        <v>0</v>
      </c>
      <c r="K32" s="60" t="n">
        <f aca="false">DF7!D58</f>
        <v>10</v>
      </c>
      <c r="L32" s="60" t="n">
        <f aca="false">DF8!D58</f>
        <v>0</v>
      </c>
      <c r="M32" s="60" t="n">
        <f aca="false">DF9!D54</f>
        <v>0</v>
      </c>
      <c r="N32" s="60" t="n">
        <f aca="false">DF10!D48</f>
        <v>0</v>
      </c>
      <c r="O32" s="60" t="n">
        <v>0</v>
      </c>
      <c r="P32" s="63" t="n">
        <f aca="false">SUMPRODUCT(B$5:E$5,B32:E32)+SUMPRODUCT(I$5:N$5,I32:N32)</f>
        <v>40</v>
      </c>
      <c r="Q32" s="64" t="n">
        <f aca="false">IFERROR(IF(P32&gt;0,MROUND(TRUNC(100*SUMPRODUCT(B$5:N$5,B32:N32)/MAX(P$50:P$51)),5),MROUND(TRUNC(100*SUMPRODUCT(B$5:N$5,B32:N32)/MAX(P$50:P$51)),-5)),0)</f>
        <v>15</v>
      </c>
      <c r="S32" s="65"/>
      <c r="T32" s="66"/>
      <c r="U32" s="67" t="n">
        <f aca="false">Q32+S32</f>
        <v>15</v>
      </c>
      <c r="W32" s="71" t="n">
        <f aca="false">IF(U32&gt;=75,4,IF(U32&gt;=50,3,IF(U32&gt;=25,2,1)))</f>
        <v>1</v>
      </c>
      <c r="X32" s="69" t="n">
        <f aca="false">W32</f>
        <v>1</v>
      </c>
      <c r="Y32" s="70"/>
    </row>
    <row r="33" customFormat="false" ht="27" hidden="false" customHeight="true" outlineLevel="0" collapsed="false">
      <c r="A33" s="59" t="s">
        <v>79</v>
      </c>
      <c r="B33" s="60" t="n">
        <f aca="false">DF1!D49</f>
        <v>0</v>
      </c>
      <c r="C33" s="60" t="n">
        <f aca="false">DF2!D58</f>
        <v>-20</v>
      </c>
      <c r="D33" s="60" t="n">
        <f aca="false">DF3!D62</f>
        <v>45</v>
      </c>
      <c r="E33" s="60" t="n">
        <f aca="false">DF4!D58</f>
        <v>-20</v>
      </c>
      <c r="F33" s="61" t="n">
        <f aca="false">SUMPRODUCT(B$5:E$5,B33:E33)</f>
        <v>5</v>
      </c>
      <c r="G33" s="62" t="n">
        <f aca="false">IFERROR(IF(F33&gt;=0,MROUND(TRUNC(100*SUMPRODUCT(B$5:E$5,B33:E33)/MAX(F$50:F$51)),5),MROUND(TRUNC(100*SUMPRODUCT(B$5:E$5,B33:E33)/MAX(F$50:F$51)),-5)),0)</f>
        <v>5</v>
      </c>
      <c r="I33" s="60" t="n">
        <f aca="false">DF5!D57</f>
        <v>0</v>
      </c>
      <c r="J33" s="60" t="n">
        <f aca="false">DF6!D57</f>
        <v>0</v>
      </c>
      <c r="K33" s="60" t="n">
        <f aca="false">DF7!D59</f>
        <v>10</v>
      </c>
      <c r="L33" s="60" t="n">
        <f aca="false">DF8!D59</f>
        <v>0</v>
      </c>
      <c r="M33" s="60" t="n">
        <f aca="false">DF9!D55</f>
        <v>0</v>
      </c>
      <c r="N33" s="60" t="n">
        <f aca="false">DF10!D49</f>
        <v>0</v>
      </c>
      <c r="O33" s="60" t="n">
        <v>0</v>
      </c>
      <c r="P33" s="63" t="n">
        <f aca="false">SUMPRODUCT(B$5:E$5,B33:E33)+SUMPRODUCT(I$5:N$5,I33:N33)</f>
        <v>15</v>
      </c>
      <c r="Q33" s="64" t="n">
        <f aca="false">IFERROR(IF(P33&gt;0,MROUND(TRUNC(100*SUMPRODUCT(B$5:N$5,B33:N33)/MAX(P$50:P$51)),5),MROUND(TRUNC(100*SUMPRODUCT(B$5:N$5,B33:N33)/MAX(P$50:P$51)),-5)),0)</f>
        <v>5</v>
      </c>
      <c r="S33" s="65"/>
      <c r="T33" s="66"/>
      <c r="U33" s="67" t="n">
        <f aca="false">Q33+S33</f>
        <v>5</v>
      </c>
      <c r="W33" s="71" t="n">
        <f aca="false">IF(U33&gt;=75,4,IF(U33&gt;=50,3,IF(U33&gt;=25,2,1)))</f>
        <v>1</v>
      </c>
      <c r="X33" s="69" t="n">
        <f aca="false">W33</f>
        <v>1</v>
      </c>
      <c r="Y33" s="70"/>
    </row>
    <row r="34" customFormat="false" ht="27" hidden="false" customHeight="true" outlineLevel="0" collapsed="false">
      <c r="A34" s="59" t="s">
        <v>80</v>
      </c>
      <c r="B34" s="60" t="n">
        <f aca="false">DF1!D50</f>
        <v>0</v>
      </c>
      <c r="C34" s="60" t="n">
        <f aca="false">DF2!D59</f>
        <v>5</v>
      </c>
      <c r="D34" s="60" t="n">
        <f aca="false">DF3!D63</f>
        <v>40</v>
      </c>
      <c r="E34" s="60" t="n">
        <f aca="false">DF4!D59</f>
        <v>10</v>
      </c>
      <c r="F34" s="61" t="n">
        <f aca="false">SUMPRODUCT(B$5:E$5,B34:E34)</f>
        <v>55</v>
      </c>
      <c r="G34" s="62" t="n">
        <f aca="false">IFERROR(IF(F34&gt;=0,MROUND(TRUNC(100*SUMPRODUCT(B$5:E$5,B34:E34)/MAX(F$50:F$51)),5),MROUND(TRUNC(100*SUMPRODUCT(B$5:E$5,B34:E34)/MAX(F$50:F$51)),-5)),0)</f>
        <v>55</v>
      </c>
      <c r="I34" s="60" t="n">
        <f aca="false">DF5!D58</f>
        <v>80</v>
      </c>
      <c r="J34" s="60" t="n">
        <f aca="false">DF6!D58</f>
        <v>0</v>
      </c>
      <c r="K34" s="60" t="n">
        <f aca="false">DF7!D60</f>
        <v>10</v>
      </c>
      <c r="L34" s="60" t="n">
        <f aca="false">DF8!D60</f>
        <v>0</v>
      </c>
      <c r="M34" s="60" t="n">
        <f aca="false">DF9!D56</f>
        <v>0</v>
      </c>
      <c r="N34" s="60" t="n">
        <f aca="false">DF10!D50</f>
        <v>0</v>
      </c>
      <c r="O34" s="60" t="n">
        <v>0</v>
      </c>
      <c r="P34" s="63" t="n">
        <f aca="false">SUMPRODUCT(B$5:E$5,B34:E34)+SUMPRODUCT(I$5:N$5,I34:N34)</f>
        <v>145</v>
      </c>
      <c r="Q34" s="64" t="n">
        <f aca="false">IFERROR(IF(P34&gt;0,MROUND(TRUNC(100*SUMPRODUCT(B$5:N$5,B34:N34)/MAX(P$50:P$51)),5),MROUND(TRUNC(100*SUMPRODUCT(B$5:N$5,B34:N34)/MAX(P$50:P$51)),-5)),0)</f>
        <v>50</v>
      </c>
      <c r="S34" s="65"/>
      <c r="T34" s="66"/>
      <c r="U34" s="67" t="n">
        <f aca="false">Q34+S34</f>
        <v>50</v>
      </c>
      <c r="W34" s="71" t="n">
        <f aca="false">IF(U34&gt;=75,4,IF(U34&gt;=50,3,IF(U34&gt;=25,2,1)))</f>
        <v>3</v>
      </c>
      <c r="X34" s="69" t="n">
        <f aca="false">W34</f>
        <v>3</v>
      </c>
      <c r="Y34" s="70"/>
    </row>
    <row r="35" customFormat="false" ht="27" hidden="false" customHeight="true" outlineLevel="0" collapsed="false">
      <c r="A35" s="59" t="s">
        <v>81</v>
      </c>
      <c r="B35" s="60" t="n">
        <f aca="false">DF1!D51</f>
        <v>-15</v>
      </c>
      <c r="C35" s="60" t="n">
        <f aca="false">DF2!D60</f>
        <v>0</v>
      </c>
      <c r="D35" s="60" t="n">
        <f aca="false">DF3!D64</f>
        <v>20</v>
      </c>
      <c r="E35" s="60" t="n">
        <f aca="false">DF4!D60</f>
        <v>5</v>
      </c>
      <c r="F35" s="61" t="n">
        <f aca="false">SUMPRODUCT(B$5:E$5,B35:E35)</f>
        <v>10</v>
      </c>
      <c r="G35" s="62" t="n">
        <f aca="false">IFERROR(IF(F35&gt;=0,MROUND(TRUNC(100*SUMPRODUCT(B$5:E$5,B35:E35)/MAX(F$50:F$51)),5),MROUND(TRUNC(100*SUMPRODUCT(B$5:E$5,B35:E35)/MAX(F$50:F$51)),-5)),0)</f>
        <v>10</v>
      </c>
      <c r="I35" s="60" t="n">
        <f aca="false">DF5!D59</f>
        <v>0</v>
      </c>
      <c r="J35" s="60" t="n">
        <f aca="false">DF6!D59</f>
        <v>0</v>
      </c>
      <c r="K35" s="60" t="n">
        <f aca="false">DF7!D61</f>
        <v>0</v>
      </c>
      <c r="L35" s="60" t="n">
        <f aca="false">DF8!D61</f>
        <v>0</v>
      </c>
      <c r="M35" s="60" t="n">
        <f aca="false">DF9!D57</f>
        <v>5</v>
      </c>
      <c r="N35" s="60" t="n">
        <f aca="false">DF10!D51</f>
        <v>0</v>
      </c>
      <c r="O35" s="60" t="n">
        <v>0</v>
      </c>
      <c r="P35" s="63" t="n">
        <f aca="false">SUMPRODUCT(B$5:E$5,B35:E35)+SUMPRODUCT(I$5:N$5,I35:N35)</f>
        <v>15</v>
      </c>
      <c r="Q35" s="64" t="n">
        <f aca="false">IFERROR(IF(P35&gt;0,MROUND(TRUNC(100*SUMPRODUCT(B$5:N$5,B35:N35)/MAX(P$50:P$51)),5),MROUND(TRUNC(100*SUMPRODUCT(B$5:N$5,B35:N35)/MAX(P$50:P$51)),-5)),0)</f>
        <v>5</v>
      </c>
      <c r="S35" s="65"/>
      <c r="T35" s="66"/>
      <c r="U35" s="67" t="n">
        <f aca="false">Q35+S35</f>
        <v>5</v>
      </c>
      <c r="W35" s="71" t="n">
        <f aca="false">IF(U35&gt;=75,4,IF(U35&gt;=50,3,IF(U35&gt;=25,2,1)))</f>
        <v>1</v>
      </c>
      <c r="X35" s="69" t="n">
        <f aca="false">W35</f>
        <v>1</v>
      </c>
      <c r="Y35" s="70"/>
    </row>
    <row r="36" customFormat="false" ht="27" hidden="false" customHeight="true" outlineLevel="0" collapsed="false">
      <c r="A36" s="72" t="s">
        <v>82</v>
      </c>
      <c r="B36" s="60" t="n">
        <f aca="false">DF1!D52</f>
        <v>5</v>
      </c>
      <c r="C36" s="60" t="n">
        <f aca="false">DF2!D61</f>
        <v>0</v>
      </c>
      <c r="D36" s="60" t="n">
        <f aca="false">DF3!D65</f>
        <v>10</v>
      </c>
      <c r="E36" s="60" t="n">
        <f aca="false">DF4!D61</f>
        <v>5</v>
      </c>
      <c r="F36" s="61" t="n">
        <f aca="false">SUMPRODUCT(B$5:E$5,B36:E36)</f>
        <v>20</v>
      </c>
      <c r="G36" s="62" t="n">
        <f aca="false">IFERROR(IF(F36&gt;=0,MROUND(TRUNC(100*SUMPRODUCT(B$5:E$5,B36:E36)/MAX(F$50:F$51)),5),MROUND(TRUNC(100*SUMPRODUCT(B$5:E$5,B36:E36)/MAX(F$50:F$51)),-5)),0)</f>
        <v>20</v>
      </c>
      <c r="I36" s="60" t="n">
        <f aca="false">DF5!D60</f>
        <v>0</v>
      </c>
      <c r="J36" s="60" t="n">
        <f aca="false">DF6!D60</f>
        <v>0</v>
      </c>
      <c r="K36" s="60" t="n">
        <f aca="false">DF7!D62</f>
        <v>25</v>
      </c>
      <c r="L36" s="60" t="n">
        <f aca="false">DF8!D62</f>
        <v>0</v>
      </c>
      <c r="M36" s="60" t="n">
        <f aca="false">DF9!D58</f>
        <v>-5</v>
      </c>
      <c r="N36" s="60" t="n">
        <f aca="false">DF10!D52</f>
        <v>0</v>
      </c>
      <c r="O36" s="60" t="n">
        <v>0</v>
      </c>
      <c r="P36" s="63" t="n">
        <f aca="false">SUMPRODUCT(B$5:E$5,B36:E36)+SUMPRODUCT(I$5:N$5,I36:N36)</f>
        <v>40</v>
      </c>
      <c r="Q36" s="64" t="n">
        <f aca="false">IFERROR(IF(P36&gt;0,MROUND(TRUNC(100*SUMPRODUCT(B$5:N$5,B36:N36)/MAX(P$50:P$51)),5),MROUND(TRUNC(100*SUMPRODUCT(B$5:N$5,B36:N36)/MAX(P$50:P$51)),-5)),0)</f>
        <v>15</v>
      </c>
      <c r="S36" s="65"/>
      <c r="T36" s="66"/>
      <c r="U36" s="67" t="n">
        <f aca="false">Q36+S36</f>
        <v>15</v>
      </c>
      <c r="W36" s="71" t="n">
        <f aca="false">IF(U36&gt;=75,4,IF(U36&gt;=50,3,IF(U36&gt;=25,2,1)))</f>
        <v>1</v>
      </c>
      <c r="X36" s="69" t="n">
        <f aca="false">W36</f>
        <v>1</v>
      </c>
      <c r="Y36" s="70"/>
    </row>
    <row r="37" customFormat="false" ht="27" hidden="false" customHeight="true" outlineLevel="0" collapsed="false">
      <c r="A37" s="72" t="s">
        <v>83</v>
      </c>
      <c r="B37" s="60" t="n">
        <f aca="false">DF1!D53</f>
        <v>30</v>
      </c>
      <c r="C37" s="60" t="n">
        <f aca="false">DF2!D62</f>
        <v>15</v>
      </c>
      <c r="D37" s="60" t="n">
        <f aca="false">DF3!D66</f>
        <v>25</v>
      </c>
      <c r="E37" s="60" t="n">
        <f aca="false">DF4!D62</f>
        <v>5</v>
      </c>
      <c r="F37" s="61" t="n">
        <f aca="false">SUMPRODUCT(B$5:E$5,B37:E37)</f>
        <v>75</v>
      </c>
      <c r="G37" s="62" t="n">
        <f aca="false">IFERROR(IF(F37&gt;=0,MROUND(TRUNC(100*SUMPRODUCT(B$5:E$5,B37:E37)/MAX(F$50:F$51)),5),MROUND(TRUNC(100*SUMPRODUCT(B$5:E$5,B37:E37)/MAX(F$50:F$51)),-5)),0)</f>
        <v>75</v>
      </c>
      <c r="I37" s="60" t="n">
        <f aca="false">DF5!D61</f>
        <v>80</v>
      </c>
      <c r="J37" s="60" t="n">
        <f aca="false">DF6!D61</f>
        <v>0</v>
      </c>
      <c r="K37" s="60" t="n">
        <f aca="false">DF7!D63</f>
        <v>20</v>
      </c>
      <c r="L37" s="60" t="n">
        <f aca="false">DF8!D63</f>
        <v>0</v>
      </c>
      <c r="M37" s="60" t="n">
        <f aca="false">DF9!D59</f>
        <v>0</v>
      </c>
      <c r="N37" s="60" t="n">
        <f aca="false">DF10!D53</f>
        <v>0</v>
      </c>
      <c r="O37" s="60" t="n">
        <v>0</v>
      </c>
      <c r="P37" s="63" t="n">
        <f aca="false">SUMPRODUCT(B$5:E$5,B37:E37)+SUMPRODUCT(I$5:N$5,I37:N37)</f>
        <v>175</v>
      </c>
      <c r="Q37" s="64" t="n">
        <f aca="false">IFERROR(IF(P37&gt;0,MROUND(TRUNC(100*SUMPRODUCT(B$5:N$5,B37:N37)/MAX(P$50:P$51)),5),MROUND(TRUNC(100*SUMPRODUCT(B$5:N$5,B37:N37)/MAX(P$50:P$51)),-5)),0)</f>
        <v>60</v>
      </c>
      <c r="S37" s="65"/>
      <c r="T37" s="66"/>
      <c r="U37" s="67" t="n">
        <f aca="false">Q37+S37</f>
        <v>60</v>
      </c>
      <c r="W37" s="71" t="n">
        <f aca="false">IF(U37&gt;=75,4,IF(U37&gt;=50,3,IF(U37&gt;=25,2,1)))</f>
        <v>3</v>
      </c>
      <c r="X37" s="69" t="n">
        <f aca="false">W37</f>
        <v>3</v>
      </c>
      <c r="Y37" s="70"/>
    </row>
    <row r="38" customFormat="false" ht="27" hidden="false" customHeight="true" outlineLevel="0" collapsed="false">
      <c r="A38" s="72" t="s">
        <v>84</v>
      </c>
      <c r="B38" s="60" t="n">
        <f aca="false">DF1!D54</f>
        <v>20</v>
      </c>
      <c r="C38" s="60" t="n">
        <f aca="false">DF2!D63</f>
        <v>0</v>
      </c>
      <c r="D38" s="60" t="n">
        <f aca="false">DF3!D67</f>
        <v>20</v>
      </c>
      <c r="E38" s="60" t="n">
        <f aca="false">DF4!D63</f>
        <v>5</v>
      </c>
      <c r="F38" s="61" t="n">
        <f aca="false">SUMPRODUCT(B$5:E$5,B38:E38)</f>
        <v>45</v>
      </c>
      <c r="G38" s="62" t="n">
        <f aca="false">IFERROR(IF(F38&gt;=0,MROUND(TRUNC(100*SUMPRODUCT(B$5:E$5,B38:E38)/MAX(F$50:F$51)),5),MROUND(TRUNC(100*SUMPRODUCT(B$5:E$5,B38:E38)/MAX(F$50:F$51)),-5)),0)</f>
        <v>45</v>
      </c>
      <c r="I38" s="60" t="n">
        <f aca="false">DF5!D62</f>
        <v>50</v>
      </c>
      <c r="J38" s="60" t="n">
        <f aca="false">DF6!D62</f>
        <v>0</v>
      </c>
      <c r="K38" s="60" t="n">
        <f aca="false">DF7!D64</f>
        <v>20</v>
      </c>
      <c r="L38" s="60" t="n">
        <f aca="false">DF8!D64</f>
        <v>0</v>
      </c>
      <c r="M38" s="60" t="n">
        <f aca="false">DF9!D60</f>
        <v>0</v>
      </c>
      <c r="N38" s="60" t="n">
        <f aca="false">DF10!D54</f>
        <v>0</v>
      </c>
      <c r="O38" s="60" t="n">
        <v>0</v>
      </c>
      <c r="P38" s="63" t="n">
        <f aca="false">SUMPRODUCT(B$5:E$5,B38:E38)+SUMPRODUCT(I$5:N$5,I38:N38)</f>
        <v>115</v>
      </c>
      <c r="Q38" s="64" t="n">
        <f aca="false">IFERROR(IF(P38&gt;0,MROUND(TRUNC(100*SUMPRODUCT(B$5:N$5,B38:N38)/MAX(P$50:P$51)),5),MROUND(TRUNC(100*SUMPRODUCT(B$5:N$5,B38:N38)/MAX(P$50:P$51)),-5)),0)</f>
        <v>40</v>
      </c>
      <c r="S38" s="65"/>
      <c r="T38" s="66"/>
      <c r="U38" s="67" t="n">
        <f aca="false">Q38+S38</f>
        <v>40</v>
      </c>
      <c r="W38" s="71" t="n">
        <f aca="false">IF(U38&gt;=75,4,IF(U38&gt;=50,3,IF(U38&gt;=25,2,1)))</f>
        <v>2</v>
      </c>
      <c r="X38" s="69" t="n">
        <f aca="false">W38</f>
        <v>2</v>
      </c>
      <c r="Y38" s="70"/>
    </row>
    <row r="39" customFormat="false" ht="27" hidden="false" customHeight="true" outlineLevel="0" collapsed="false">
      <c r="A39" s="72" t="s">
        <v>85</v>
      </c>
      <c r="B39" s="60" t="n">
        <f aca="false">DF1!D55</f>
        <v>30</v>
      </c>
      <c r="C39" s="60" t="n">
        <f aca="false">DF2!D64</f>
        <v>15</v>
      </c>
      <c r="D39" s="60" t="n">
        <f aca="false">DF3!D68</f>
        <v>5</v>
      </c>
      <c r="E39" s="60" t="n">
        <f aca="false">DF4!D64</f>
        <v>15</v>
      </c>
      <c r="F39" s="61" t="n">
        <f aca="false">SUMPRODUCT(B$5:E$5,B39:E39)</f>
        <v>65</v>
      </c>
      <c r="G39" s="62" t="n">
        <f aca="false">IFERROR(IF(F39&gt;=0,MROUND(TRUNC(100*SUMPRODUCT(B$5:E$5,B39:E39)/MAX(F$50:F$51)),5),MROUND(TRUNC(100*SUMPRODUCT(B$5:E$5,B39:E39)/MAX(F$50:F$51)),-5)),0)</f>
        <v>65</v>
      </c>
      <c r="I39" s="60" t="n">
        <f aca="false">DF5!D63</f>
        <v>100</v>
      </c>
      <c r="J39" s="60" t="n">
        <f aca="false">DF6!D63</f>
        <v>50</v>
      </c>
      <c r="K39" s="60" t="n">
        <f aca="false">DF7!D65</f>
        <v>20</v>
      </c>
      <c r="L39" s="60" t="n">
        <f aca="false">DF8!D65</f>
        <v>0</v>
      </c>
      <c r="M39" s="60" t="n">
        <f aca="false">DF9!D61</f>
        <v>0</v>
      </c>
      <c r="N39" s="60" t="n">
        <f aca="false">DF10!D55</f>
        <v>0</v>
      </c>
      <c r="O39" s="60" t="n">
        <v>0</v>
      </c>
      <c r="P39" s="63" t="n">
        <f aca="false">SUMPRODUCT(B$5:E$5,B39:E39)+SUMPRODUCT(I$5:N$5,I39:N39)</f>
        <v>235</v>
      </c>
      <c r="Q39" s="64" t="n">
        <f aca="false">IFERROR(IF(P39&gt;0,MROUND(TRUNC(100*SUMPRODUCT(B$5:N$5,B39:N39)/MAX(P$50:P$51)),5),MROUND(TRUNC(100*SUMPRODUCT(B$5:N$5,B39:N39)/MAX(P$50:P$51)),-5)),0)</f>
        <v>80</v>
      </c>
      <c r="S39" s="65"/>
      <c r="T39" s="66"/>
      <c r="U39" s="67" t="n">
        <f aca="false">Q39+S39</f>
        <v>80</v>
      </c>
      <c r="W39" s="71" t="n">
        <f aca="false">IF(U39&gt;=75,4,IF(U39&gt;=50,3,IF(U39&gt;=25,2,1)))</f>
        <v>4</v>
      </c>
      <c r="X39" s="69" t="n">
        <f aca="false">W39</f>
        <v>4</v>
      </c>
      <c r="Y39" s="70"/>
    </row>
    <row r="40" customFormat="false" ht="27" hidden="false" customHeight="true" outlineLevel="0" collapsed="false">
      <c r="A40" s="72" t="s">
        <v>86</v>
      </c>
      <c r="B40" s="60" t="n">
        <f aca="false">DF1!D56</f>
        <v>20</v>
      </c>
      <c r="C40" s="60" t="n">
        <f aca="false">DF2!D65</f>
        <v>15</v>
      </c>
      <c r="D40" s="60" t="n">
        <f aca="false">DF3!D69</f>
        <v>15</v>
      </c>
      <c r="E40" s="60" t="n">
        <f aca="false">DF4!D65</f>
        <v>15</v>
      </c>
      <c r="F40" s="61" t="n">
        <f aca="false">SUMPRODUCT(B$5:E$5,B40:E40)</f>
        <v>65</v>
      </c>
      <c r="G40" s="62" t="n">
        <f aca="false">IFERROR(IF(F40&gt;=0,MROUND(TRUNC(100*SUMPRODUCT(B$5:E$5,B40:E40)/MAX(F$50:F$51)),5),MROUND(TRUNC(100*SUMPRODUCT(B$5:E$5,B40:E40)/MAX(F$50:F$51)),-5)),0)</f>
        <v>65</v>
      </c>
      <c r="I40" s="60" t="n">
        <f aca="false">DF5!D64</f>
        <v>80</v>
      </c>
      <c r="J40" s="60" t="n">
        <f aca="false">DF6!D64</f>
        <v>100</v>
      </c>
      <c r="K40" s="60" t="n">
        <f aca="false">DF7!D66</f>
        <v>15</v>
      </c>
      <c r="L40" s="60" t="n">
        <f aca="false">DF8!D66</f>
        <v>0</v>
      </c>
      <c r="M40" s="60" t="n">
        <f aca="false">DF9!D62</f>
        <v>0</v>
      </c>
      <c r="N40" s="60" t="n">
        <f aca="false">DF10!D56</f>
        <v>0</v>
      </c>
      <c r="O40" s="60" t="n">
        <v>0</v>
      </c>
      <c r="P40" s="63" t="n">
        <f aca="false">SUMPRODUCT(B$5:E$5,B40:E40)+SUMPRODUCT(I$5:N$5,I40:N40)</f>
        <v>260</v>
      </c>
      <c r="Q40" s="64" t="n">
        <f aca="false">IFERROR(IF(P40&gt;0,MROUND(TRUNC(100*SUMPRODUCT(B$5:N$5,B40:N40)/MAX(P$50:P$51)),5),MROUND(TRUNC(100*SUMPRODUCT(B$5:N$5,B40:N40)/MAX(P$50:P$51)),-5)),0)</f>
        <v>90</v>
      </c>
      <c r="S40" s="65"/>
      <c r="T40" s="66"/>
      <c r="U40" s="67" t="n">
        <f aca="false">Q40+S40</f>
        <v>90</v>
      </c>
      <c r="W40" s="71" t="n">
        <f aca="false">IF(U40&gt;=75,4,IF(U40&gt;=50,3,IF(U40&gt;=25,2,1)))</f>
        <v>4</v>
      </c>
      <c r="X40" s="69" t="n">
        <f aca="false">W40</f>
        <v>4</v>
      </c>
      <c r="Y40" s="70"/>
    </row>
    <row r="41" customFormat="false" ht="27" hidden="false" customHeight="true" outlineLevel="0" collapsed="false">
      <c r="A41" s="72" t="s">
        <v>87</v>
      </c>
      <c r="B41" s="60" t="n">
        <f aca="false">DF1!D57</f>
        <v>5</v>
      </c>
      <c r="C41" s="60" t="n">
        <f aca="false">DF2!D66</f>
        <v>5</v>
      </c>
      <c r="D41" s="60" t="n">
        <f aca="false">DF3!D70</f>
        <v>35</v>
      </c>
      <c r="E41" s="60" t="n">
        <f aca="false">DF4!D66</f>
        <v>10</v>
      </c>
      <c r="F41" s="61" t="n">
        <f aca="false">SUMPRODUCT(B$5:E$5,B41:E41)</f>
        <v>55</v>
      </c>
      <c r="G41" s="62" t="n">
        <f aca="false">IFERROR(IF(F41&gt;=0,MROUND(TRUNC(100*SUMPRODUCT(B$5:E$5,B41:E41)/MAX(F$50:F$51)),5),MROUND(TRUNC(100*SUMPRODUCT(B$5:E$5,B41:E41)/MAX(F$50:F$51)),-5)),0)</f>
        <v>55</v>
      </c>
      <c r="I41" s="60" t="n">
        <f aca="false">DF5!D65</f>
        <v>80</v>
      </c>
      <c r="J41" s="60" t="n">
        <f aca="false">DF6!D65</f>
        <v>0</v>
      </c>
      <c r="K41" s="60" t="n">
        <f aca="false">DF7!D67</f>
        <v>10</v>
      </c>
      <c r="L41" s="60" t="n">
        <f aca="false">DF8!D67</f>
        <v>0</v>
      </c>
      <c r="M41" s="60" t="n">
        <f aca="false">DF9!D63</f>
        <v>0</v>
      </c>
      <c r="N41" s="60" t="n">
        <f aca="false">DF10!D57</f>
        <v>0</v>
      </c>
      <c r="O41" s="60" t="n">
        <v>0</v>
      </c>
      <c r="P41" s="63" t="n">
        <f aca="false">SUMPRODUCT(B$5:E$5,B41:E41)+SUMPRODUCT(I$5:N$5,I41:N41)</f>
        <v>145</v>
      </c>
      <c r="Q41" s="64" t="n">
        <f aca="false">IFERROR(IF(P41&gt;0,MROUND(TRUNC(100*SUMPRODUCT(B$5:N$5,B41:N41)/MAX(P$50:P$51)),5),MROUND(TRUNC(100*SUMPRODUCT(B$5:N$5,B41:N41)/MAX(P$50:P$51)),-5)),0)</f>
        <v>50</v>
      </c>
      <c r="S41" s="65"/>
      <c r="T41" s="66"/>
      <c r="U41" s="67" t="n">
        <f aca="false">Q41+S41</f>
        <v>50</v>
      </c>
      <c r="W41" s="71" t="n">
        <f aca="false">IF(U41&gt;=75,4,IF(U41&gt;=50,3,IF(U41&gt;=25,2,1)))</f>
        <v>3</v>
      </c>
      <c r="X41" s="69" t="n">
        <f aca="false">W41</f>
        <v>3</v>
      </c>
      <c r="Y41" s="70"/>
    </row>
    <row r="42" customFormat="false" ht="35.25" hidden="false" customHeight="true" outlineLevel="0" collapsed="false">
      <c r="A42" s="59" t="s">
        <v>88</v>
      </c>
      <c r="B42" s="60" t="n">
        <f aca="false">DF1!D58</f>
        <v>0</v>
      </c>
      <c r="C42" s="60" t="n">
        <f aca="false">DF2!D67</f>
        <v>0</v>
      </c>
      <c r="D42" s="60" t="n">
        <f aca="false">DF3!D71</f>
        <v>10</v>
      </c>
      <c r="E42" s="60" t="n">
        <f aca="false">DF4!D67</f>
        <v>0</v>
      </c>
      <c r="F42" s="61" t="n">
        <f aca="false">SUMPRODUCT(B$5:E$5,B42:E42)</f>
        <v>10</v>
      </c>
      <c r="G42" s="62" t="n">
        <f aca="false">IFERROR(IF(F42&gt;=0,MROUND(TRUNC(100*SUMPRODUCT(B$5:E$5,B42:E42)/MAX(F$50:F$51)),5),MROUND(TRUNC(100*SUMPRODUCT(B$5:E$5,B42:E42)/MAX(F$50:F$51)),-5)),0)</f>
        <v>10</v>
      </c>
      <c r="I42" s="60" t="n">
        <f aca="false">DF5!D66</f>
        <v>80</v>
      </c>
      <c r="J42" s="60" t="n">
        <f aca="false">DF6!D66</f>
        <v>0</v>
      </c>
      <c r="K42" s="60" t="n">
        <f aca="false">DF7!D68</f>
        <v>10</v>
      </c>
      <c r="L42" s="60" t="n">
        <f aca="false">DF8!D68</f>
        <v>-20</v>
      </c>
      <c r="M42" s="60" t="n">
        <f aca="false">DF9!D64</f>
        <v>0</v>
      </c>
      <c r="N42" s="60" t="n">
        <f aca="false">DF10!D58</f>
        <v>0</v>
      </c>
      <c r="O42" s="60" t="n">
        <v>0</v>
      </c>
      <c r="P42" s="63" t="n">
        <f aca="false">SUMPRODUCT(B$5:E$5,B42:E42)+SUMPRODUCT(I$5:N$5,I42:N42)</f>
        <v>80</v>
      </c>
      <c r="Q42" s="64" t="n">
        <f aca="false">IFERROR(IF(P42&gt;0,MROUND(TRUNC(100*SUMPRODUCT(B$5:N$5,B42:N42)/MAX(P$50:P$51)),5),MROUND(TRUNC(100*SUMPRODUCT(B$5:N$5,B42:N42)/MAX(P$50:P$51)),-5)),0)</f>
        <v>25</v>
      </c>
      <c r="S42" s="65"/>
      <c r="T42" s="66"/>
      <c r="U42" s="67" t="n">
        <f aca="false">Q42+S42</f>
        <v>25</v>
      </c>
      <c r="W42" s="71" t="n">
        <f aca="false">IF(U42&gt;=75,4,IF(U42&gt;=50,3,IF(U42&gt;=25,2,1)))</f>
        <v>2</v>
      </c>
      <c r="X42" s="69" t="n">
        <f aca="false">W42</f>
        <v>2</v>
      </c>
      <c r="Y42" s="70"/>
    </row>
    <row r="43" customFormat="false" ht="27" hidden="false" customHeight="true" outlineLevel="0" collapsed="false">
      <c r="A43" s="59" t="s">
        <v>89</v>
      </c>
      <c r="B43" s="60" t="n">
        <f aca="false">DF1!D59</f>
        <v>0</v>
      </c>
      <c r="C43" s="60" t="n">
        <f aca="false">DF2!D68</f>
        <v>0</v>
      </c>
      <c r="D43" s="60" t="n">
        <f aca="false">DF3!D72</f>
        <v>10</v>
      </c>
      <c r="E43" s="60" t="n">
        <f aca="false">DF4!D68</f>
        <v>0</v>
      </c>
      <c r="F43" s="61" t="n">
        <f aca="false">SUMPRODUCT(B$5:E$5,B43:E43)</f>
        <v>10</v>
      </c>
      <c r="G43" s="62" t="n">
        <f aca="false">IFERROR(IF(F43&gt;=0,MROUND(TRUNC(100*SUMPRODUCT(B$5:E$5,B43:E43)/MAX(F$50:F$51)),5),MROUND(TRUNC(100*SUMPRODUCT(B$5:E$5,B43:E43)/MAX(F$50:F$51)),-5)),0)</f>
        <v>10</v>
      </c>
      <c r="I43" s="60" t="n">
        <f aca="false">DF5!D67</f>
        <v>50</v>
      </c>
      <c r="J43" s="60" t="n">
        <f aca="false">DF6!D67</f>
        <v>0</v>
      </c>
      <c r="K43" s="60" t="n">
        <f aca="false">DF7!D69</f>
        <v>10</v>
      </c>
      <c r="L43" s="60" t="n">
        <f aca="false">DF8!D69</f>
        <v>0</v>
      </c>
      <c r="M43" s="60" t="n">
        <f aca="false">DF9!D65</f>
        <v>0</v>
      </c>
      <c r="N43" s="60" t="n">
        <f aca="false">DF10!D59</f>
        <v>0</v>
      </c>
      <c r="O43" s="60" t="n">
        <v>0</v>
      </c>
      <c r="P43" s="63" t="n">
        <f aca="false">SUMPRODUCT(B$5:E$5,B43:E43)+SUMPRODUCT(I$5:N$5,I43:N43)</f>
        <v>70</v>
      </c>
      <c r="Q43" s="64" t="n">
        <f aca="false">IFERROR(IF(P43&gt;0,MROUND(TRUNC(100*SUMPRODUCT(B$5:N$5,B43:N43)/MAX(P$50:P$51)),5),MROUND(TRUNC(100*SUMPRODUCT(B$5:N$5,B43:N43)/MAX(P$50:P$51)),-5)),0)</f>
        <v>25</v>
      </c>
      <c r="S43" s="65"/>
      <c r="T43" s="66"/>
      <c r="U43" s="67" t="n">
        <f aca="false">Q43+S43</f>
        <v>25</v>
      </c>
      <c r="W43" s="71" t="n">
        <f aca="false">IF(U43&gt;=75,4,IF(U43&gt;=50,3,IF(U43&gt;=25,2,1)))</f>
        <v>2</v>
      </c>
      <c r="X43" s="69" t="n">
        <f aca="false">W43</f>
        <v>2</v>
      </c>
      <c r="Y43" s="70"/>
    </row>
    <row r="44" customFormat="false" ht="32.25" hidden="false" customHeight="true" outlineLevel="0" collapsed="false">
      <c r="A44" s="59" t="s">
        <v>90</v>
      </c>
      <c r="B44" s="60" t="n">
        <f aca="false">DF1!D60</f>
        <v>0</v>
      </c>
      <c r="C44" s="60" t="n">
        <f aca="false">DF2!D69</f>
        <v>5</v>
      </c>
      <c r="D44" s="60" t="n">
        <f aca="false">DF3!D73</f>
        <v>20</v>
      </c>
      <c r="E44" s="60" t="n">
        <f aca="false">DF4!D69</f>
        <v>20</v>
      </c>
      <c r="F44" s="61" t="n">
        <f aca="false">SUMPRODUCT(B$5:E$5,B44:E44)</f>
        <v>45</v>
      </c>
      <c r="G44" s="62" t="n">
        <f aca="false">IFERROR(IF(F44&gt;=0,MROUND(TRUNC(100*SUMPRODUCT(B$5:E$5,B44:E44)/MAX(F$50:F$51)),5),MROUND(TRUNC(100*SUMPRODUCT(B$5:E$5,B44:E44)/MAX(F$50:F$51)),-5)),0)</f>
        <v>45</v>
      </c>
      <c r="I44" s="60" t="n">
        <f aca="false">DF5!D68</f>
        <v>80</v>
      </c>
      <c r="J44" s="60" t="n">
        <f aca="false">DF6!D68</f>
        <v>100</v>
      </c>
      <c r="K44" s="60" t="n">
        <f aca="false">DF7!D70</f>
        <v>5</v>
      </c>
      <c r="L44" s="60" t="n">
        <f aca="false">DF8!D70</f>
        <v>0</v>
      </c>
      <c r="M44" s="60" t="n">
        <f aca="false">DF9!D66</f>
        <v>0</v>
      </c>
      <c r="N44" s="60" t="n">
        <f aca="false">DF10!D60</f>
        <v>0</v>
      </c>
      <c r="O44" s="60" t="n">
        <v>0</v>
      </c>
      <c r="P44" s="63" t="n">
        <f aca="false">SUMPRODUCT(B$5:E$5,B44:E44)+SUMPRODUCT(I$5:N$5,I44:N44)</f>
        <v>230</v>
      </c>
      <c r="Q44" s="64" t="n">
        <f aca="false">IFERROR(IF(P44&gt;0,MROUND(TRUNC(100*SUMPRODUCT(B$5:N$5,B44:N44)/MAX(P$50:P$51)),5),MROUND(TRUNC(100*SUMPRODUCT(B$5:N$5,B44:N44)/MAX(P$50:P$51)),-5)),0)</f>
        <v>80</v>
      </c>
      <c r="S44" s="65"/>
      <c r="T44" s="66"/>
      <c r="U44" s="67" t="n">
        <f aca="false">Q44+S44</f>
        <v>80</v>
      </c>
      <c r="W44" s="71" t="n">
        <f aca="false">IF(U44&gt;=75,4,IF(U44&gt;=50,3,IF(U44&gt;=25,2,1)))</f>
        <v>4</v>
      </c>
      <c r="X44" s="69" t="n">
        <f aca="false">W44</f>
        <v>4</v>
      </c>
      <c r="Y44" s="70"/>
    </row>
    <row r="45" customFormat="false" ht="27" hidden="false" customHeight="true" outlineLevel="0" collapsed="false">
      <c r="A45" s="59" t="s">
        <v>91</v>
      </c>
      <c r="B45" s="60" t="n">
        <f aca="false">DF1!D61</f>
        <v>0</v>
      </c>
      <c r="C45" s="60" t="n">
        <f aca="false">DF2!D70</f>
        <v>5</v>
      </c>
      <c r="D45" s="60" t="n">
        <f aca="false">DF3!D74</f>
        <v>10</v>
      </c>
      <c r="E45" s="60" t="n">
        <f aca="false">DF4!D70</f>
        <v>0</v>
      </c>
      <c r="F45" s="61" t="n">
        <f aca="false">SUMPRODUCT(B$5:E$5,B45:E45)</f>
        <v>15</v>
      </c>
      <c r="G45" s="62" t="n">
        <f aca="false">IFERROR(IF(F45&gt;=0,MROUND(TRUNC(100*SUMPRODUCT(B$5:E$5,B45:E45)/MAX(F$50:F$51)),5),MROUND(TRUNC(100*SUMPRODUCT(B$5:E$5,B45:E45)/MAX(F$50:F$51)),-5)),0)</f>
        <v>15</v>
      </c>
      <c r="I45" s="60" t="n">
        <f aca="false">DF5!D69</f>
        <v>80</v>
      </c>
      <c r="J45" s="60" t="n">
        <f aca="false">DF6!D69</f>
        <v>75</v>
      </c>
      <c r="K45" s="60" t="n">
        <f aca="false">DF7!D71</f>
        <v>10</v>
      </c>
      <c r="L45" s="60" t="n">
        <f aca="false">DF8!D71</f>
        <v>0</v>
      </c>
      <c r="M45" s="60" t="n">
        <f aca="false">DF9!D67</f>
        <v>0</v>
      </c>
      <c r="N45" s="60" t="n">
        <f aca="false">DF10!D61</f>
        <v>0</v>
      </c>
      <c r="O45" s="60" t="n">
        <v>0</v>
      </c>
      <c r="P45" s="63" t="n">
        <f aca="false">SUMPRODUCT(B$5:E$5,B45:E45)+SUMPRODUCT(I$5:N$5,I45:N45)</f>
        <v>180</v>
      </c>
      <c r="Q45" s="64" t="n">
        <f aca="false">IFERROR(IF(P45&gt;0,MROUND(TRUNC(100*SUMPRODUCT(B$5:N$5,B45:N45)/MAX(P$50:P$51)),5),MROUND(TRUNC(100*SUMPRODUCT(B$5:N$5,B45:N45)/MAX(P$50:P$51)),-5)),0)</f>
        <v>60</v>
      </c>
      <c r="S45" s="65"/>
      <c r="T45" s="66"/>
      <c r="U45" s="67" t="n">
        <f aca="false">Q45+S45</f>
        <v>60</v>
      </c>
      <c r="W45" s="73" t="n">
        <f aca="false">IF(U45&gt;=75,4,IF(U45&gt;=50,3,IF(U45&gt;=25,2,1)))</f>
        <v>3</v>
      </c>
      <c r="X45" s="69" t="n">
        <f aca="false">W45</f>
        <v>3</v>
      </c>
      <c r="Y45" s="70"/>
    </row>
    <row r="46" customFormat="false" ht="15" hidden="true" customHeight="false" outlineLevel="0" collapsed="false"/>
    <row r="47" customFormat="false" ht="15" hidden="true" customHeight="false" outlineLevel="0" collapsed="false">
      <c r="B47" s="74" t="n">
        <f aca="false">AVERAGE(B6:B45)</f>
        <v>4.375</v>
      </c>
      <c r="C47" s="74" t="n">
        <f aca="false">AVERAGE(C6:C45)</f>
        <v>1.875</v>
      </c>
      <c r="D47" s="74" t="n">
        <f aca="false">AVERAGE(D6:D45)</f>
        <v>16</v>
      </c>
      <c r="E47" s="74" t="n">
        <f aca="false">AVERAGE(E6:E45)</f>
        <v>2.375</v>
      </c>
      <c r="G47" s="75" t="n">
        <f aca="false">AVERAGE(G6:G45)</f>
        <v>24.625</v>
      </c>
      <c r="H47" s="75"/>
      <c r="I47" s="74" t="n">
        <f aca="false">AVERAGE(I6:I45)</f>
        <v>44.75</v>
      </c>
      <c r="J47" s="74" t="n">
        <f aca="false">AVERAGE(J6:J45)</f>
        <v>19.875</v>
      </c>
      <c r="K47" s="74" t="n">
        <f aca="false">AVERAGE(K6:K45)</f>
        <v>9.75</v>
      </c>
      <c r="L47" s="74" t="n">
        <f aca="false">AVERAGE(L6:L45)</f>
        <v>-2.25</v>
      </c>
      <c r="M47" s="74" t="n">
        <f aca="false">AVERAGE(M6:M45)</f>
        <v>0.375</v>
      </c>
      <c r="N47" s="74" t="n">
        <f aca="false">AVERAGE(N6:N45)</f>
        <v>-1</v>
      </c>
      <c r="Q47" s="75" t="n">
        <f aca="false">AVERAGE(Q6:Q45)</f>
        <v>32.75</v>
      </c>
    </row>
    <row r="48" customFormat="false" ht="15" hidden="true" customHeight="false" outlineLevel="0" collapsed="false"/>
    <row r="49" customFormat="false" ht="15" hidden="true" customHeight="false" outlineLevel="0" collapsed="false"/>
    <row r="50" customFormat="false" ht="15" hidden="true" customHeight="false" outlineLevel="0" collapsed="false">
      <c r="F50" s="76" t="n">
        <f aca="false">MAX(F6:F45)</f>
        <v>100</v>
      </c>
      <c r="P50" s="76" t="n">
        <f aca="false">MAX(P6:P45)</f>
        <v>290</v>
      </c>
    </row>
    <row r="51" customFormat="false" ht="15" hidden="true" customHeight="false" outlineLevel="0" collapsed="false">
      <c r="F51" s="76" t="n">
        <f aca="false">-MIN(F6:F45)</f>
        <v>60</v>
      </c>
      <c r="P51" s="76" t="n">
        <f aca="false">-MIN(P6:P45)</f>
        <v>50</v>
      </c>
    </row>
  </sheetData>
  <mergeCells count="12">
    <mergeCell ref="A1:Y1"/>
    <mergeCell ref="B3:G3"/>
    <mergeCell ref="I3:Q3"/>
    <mergeCell ref="S3:Y3"/>
    <mergeCell ref="G4:G5"/>
    <mergeCell ref="Q4:Q5"/>
    <mergeCell ref="S4:S5"/>
    <mergeCell ref="T4:T5"/>
    <mergeCell ref="U4:U5"/>
    <mergeCell ref="W4:W5"/>
    <mergeCell ref="X4:X5"/>
    <mergeCell ref="Y4:Y5"/>
  </mergeCells>
  <conditionalFormatting sqref="X6:X45">
    <cfRule type="dataBar" priority="2">
      <dataBar showValue="1" minLength="10" maxLength="90">
        <cfvo type="num" val="0"/>
        <cfvo type="num" val="5"/>
        <color rgb="FF7030A0"/>
      </dataBar>
      <extLst>
        <ext xmlns:x14="http://schemas.microsoft.com/office/spreadsheetml/2009/9/main" uri="{B025F937-C7B1-47D3-B67F-A62EFF666E3E}">
          <x14:id>{53B8901C-7CA2-495F-9B69-54484836C1F7}</x14:id>
        </ext>
      </extLst>
    </cfRule>
    <cfRule type="cellIs" priority="3" operator="notEqual" aboveAverage="0" equalAverage="0" bottom="0" percent="0" rank="0" text="" dxfId="0">
      <formula>W6</formula>
    </cfRule>
  </conditionalFormatting>
  <conditionalFormatting sqref="W6:W45">
    <cfRule type="dataBar" priority="4">
      <dataBar showValue="1" minLength="10" maxLength="90">
        <cfvo type="num" val="0"/>
        <cfvo type="num" val="5"/>
        <color rgb="FF638EC6"/>
      </dataBar>
      <extLst>
        <ext xmlns:x14="http://schemas.microsoft.com/office/spreadsheetml/2009/9/main" uri="{B025F937-C7B1-47D3-B67F-A62EFF666E3E}">
          <x14:id>{8981CFC6-BEF3-413C-AD84-FDEAADB559E5}</x14:id>
        </ext>
      </extLst>
    </cfRule>
  </conditionalFormatting>
  <conditionalFormatting sqref="T6:T45">
    <cfRule type="expression" priority="5" aboveAverage="0" equalAverage="0" bottom="0" percent="0" rank="0" text="" dxfId="1">
      <formula>$S$6&lt;&gt;0</formula>
    </cfRule>
  </conditionalFormatting>
  <conditionalFormatting sqref="Y6:Y45">
    <cfRule type="expression" priority="6" aboveAverage="0" equalAverage="0" bottom="0" percent="0" rank="0" text="" dxfId="0">
      <formula>W6&lt;&gt;X6</formula>
    </cfRule>
  </conditionalFormatting>
  <conditionalFormatting sqref="U6:U45">
    <cfRule type="dataBar" priority="7">
      <dataBar showValue="1" minLength="10" maxLength="90">
        <cfvo type="min" val="0"/>
        <cfvo type="max" val="0"/>
        <color rgb="FF63C384"/>
      </dataBar>
      <extLst>
        <ext xmlns:x14="http://schemas.microsoft.com/office/spreadsheetml/2009/9/main" uri="{B025F937-C7B1-47D3-B67F-A62EFF666E3E}">
          <x14:id>{7AE092C7-5D7C-4FDF-87AA-F233F883333B}</x14:id>
        </ext>
      </extLst>
    </cfRule>
  </conditionalFormatting>
  <conditionalFormatting sqref="G6:G45">
    <cfRule type="dataBar" priority="8">
      <dataBar showValue="1" minLength="10" maxLength="90">
        <cfvo type="min" val="0"/>
        <cfvo type="max" val="0"/>
        <color rgb="FF63C384"/>
      </dataBar>
      <extLst>
        <ext xmlns:x14="http://schemas.microsoft.com/office/spreadsheetml/2009/9/main" uri="{B025F937-C7B1-47D3-B67F-A62EFF666E3E}">
          <x14:id>{8BA0F8AB-29F2-4782-8B7D-EBFB477CF6AD}</x14:id>
        </ext>
      </extLst>
    </cfRule>
  </conditionalFormatting>
  <conditionalFormatting sqref="B5:E5 I5:O5">
    <cfRule type="colorScale" priority="9">
      <colorScale>
        <cfvo type="min" val="0"/>
        <cfvo type="max" val="0"/>
        <color rgb="FFFCFCFF"/>
        <color rgb="FF63BE7B"/>
      </colorScale>
    </cfRule>
  </conditionalFormatting>
  <conditionalFormatting sqref="Q6:Q45">
    <cfRule type="dataBar" priority="10">
      <dataBar showValue="1" minLength="10" maxLength="90">
        <cfvo type="min" val="0"/>
        <cfvo type="max" val="0"/>
        <color rgb="FF63C384"/>
      </dataBar>
      <extLst>
        <ext xmlns:x14="http://schemas.microsoft.com/office/spreadsheetml/2009/9/main" uri="{B025F937-C7B1-47D3-B67F-A62EFF666E3E}">
          <x14:id>{E0915114-525A-4188-B800-4DAD7BA08C8C}</x14:id>
        </ext>
      </extLst>
    </cfRule>
  </conditionalFormatting>
  <dataValidations count="1">
    <dataValidation allowBlank="true" errorStyle="stop" operator="between" showDropDown="false" showErrorMessage="true" showInputMessage="true" sqref="S6:S45" type="decimal">
      <formula1>-100</formula1>
      <formula2>100</formula2>
    </dataValidation>
  </dataValidations>
  <hyperlinks>
    <hyperlink ref="B4" location="'DF1'!A1" display="Enterprise Strategy"/>
    <hyperlink ref="N4" location="DF10in!A1" display="Technology Adoption Strategy"/>
  </hyperlink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extLst>
    <ext xmlns:x14="http://schemas.microsoft.com/office/spreadsheetml/2009/9/main" uri="{78C0D931-6437-407d-A8EE-F0AAD7539E65}">
      <x14:conditionalFormattings>
        <x14:conditionalFormatting xmlns:xm="http://schemas.microsoft.com/office/excel/2006/main">
          <x14:cfRule type="dataBar" id="{53B8901C-7CA2-495F-9B69-54484836C1F7}">
            <x14:dataBar minLength="10" maxLength="90" axisPosition="none" gradient="true">
              <x14:cfvo type="num">
                <xm:f>0</xm:f>
              </x14:cfvo>
              <x14:cfvo type="num">
                <xm:f>5</xm:f>
              </x14:cfvo>
              <x14:negativeFillColor rgb="FF7030A0"/>
              <x14:axisColor rgb="FF000000"/>
            </x14:dataBar>
          </x14:cfRule>
          <xm:sqref>X6:X45</xm:sqref>
        </x14:conditionalFormatting>
        <x14:conditionalFormatting xmlns:xm="http://schemas.microsoft.com/office/excel/2006/main">
          <x14:cfRule type="dataBar" id="{8981CFC6-BEF3-413C-AD84-FDEAADB559E5}">
            <x14:dataBar minLength="10" maxLength="90" axisPosition="none" gradient="true">
              <x14:cfvo type="num">
                <xm:f>0</xm:f>
              </x14:cfvo>
              <x14:cfvo type="num">
                <xm:f>5</xm:f>
              </x14:cfvo>
              <x14:negativeFillColor rgb="FF638EC6"/>
              <x14:axisColor rgb="FF000000"/>
            </x14:dataBar>
          </x14:cfRule>
          <xm:sqref>W6:W45</xm:sqref>
        </x14:conditionalFormatting>
        <x14:conditionalFormatting xmlns:xm="http://schemas.microsoft.com/office/excel/2006/main">
          <x14:cfRule type="dataBar" id="{7AE092C7-5D7C-4FDF-87AA-F233F883333B}">
            <x14:dataBar minLength="10" maxLength="90" axisPosition="none" gradient="true">
              <x14:cfvo type="min"/>
              <x14:cfvo type="max"/>
              <x14:negativeFillColor rgb="FF63C384"/>
              <x14:axisColor rgb="FF000000"/>
            </x14:dataBar>
          </x14:cfRule>
          <xm:sqref>U6:U45</xm:sqref>
        </x14:conditionalFormatting>
        <x14:conditionalFormatting xmlns:xm="http://schemas.microsoft.com/office/excel/2006/main">
          <x14:cfRule type="dataBar" id="{8BA0F8AB-29F2-4782-8B7D-EBFB477CF6AD}">
            <x14:dataBar minLength="10" maxLength="90" axisPosition="none" gradient="true">
              <x14:cfvo type="min"/>
              <x14:cfvo type="max"/>
              <x14:negativeFillColor rgb="FF63C384"/>
              <x14:axisColor rgb="FF000000"/>
            </x14:dataBar>
          </x14:cfRule>
          <xm:sqref>G6:G45</xm:sqref>
        </x14:conditionalFormatting>
        <x14:conditionalFormatting xmlns:xm="http://schemas.microsoft.com/office/excel/2006/main">
          <x14:cfRule type="dataBar" id="{E0915114-525A-4188-B800-4DAD7BA08C8C}">
            <x14:dataBar minLength="10" maxLength="90" axisPosition="none" gradient="true">
              <x14:cfvo type="min"/>
              <x14:cfvo type="max"/>
              <x14:negativeFillColor rgb="FF63C384"/>
              <x14:axisColor rgb="FF000000"/>
            </x14:dataBar>
          </x14:cfRule>
          <xm:sqref>Q6:Q45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S61"/>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pane xSplit="0" ySplit="2" topLeftCell="A16" activePane="bottomLeft" state="frozen"/>
      <selection pane="topLeft" activeCell="A1" activeCellId="0" sqref="A1"/>
      <selection pane="bottomLeft" activeCell="D23" activeCellId="0" sqref="D23"/>
    </sheetView>
  </sheetViews>
  <sheetFormatPr defaultColWidth="8.71484375" defaultRowHeight="15" zeroHeight="false" outlineLevelRow="0" outlineLevelCol="0"/>
  <cols>
    <col collapsed="false" customWidth="true" hidden="false" outlineLevel="0" max="1" min="1" style="77" width="13.15"/>
    <col collapsed="false" customWidth="true" hidden="false" outlineLevel="0" max="2" min="2" style="77" width="6.85"/>
    <col collapsed="false" customWidth="true" hidden="false" outlineLevel="0" max="3" min="3" style="77" width="8.15"/>
    <col collapsed="false" customWidth="true" hidden="false" outlineLevel="0" max="4" min="4" style="77" width="9.86"/>
    <col collapsed="false" customWidth="true" hidden="false" outlineLevel="0" max="5" min="5" style="77" width="10.14"/>
    <col collapsed="false" customWidth="true" hidden="false" outlineLevel="0" max="6" min="6" style="77" width="14.86"/>
    <col collapsed="false" customWidth="true" hidden="false" outlineLevel="0" max="7" min="7" style="77" width="10.71"/>
    <col collapsed="false" customWidth="true" hidden="false" outlineLevel="0" max="8" min="8" style="77" width="4.71"/>
    <col collapsed="false" customWidth="true" hidden="false" outlineLevel="0" max="9" min="9" style="77" width="18.71"/>
    <col collapsed="false" customWidth="false" hidden="false" outlineLevel="0" max="10" min="10" style="77" width="8.71"/>
    <col collapsed="false" customWidth="true" hidden="false" outlineLevel="0" max="14" min="11" style="77" width="7.15"/>
    <col collapsed="false" customWidth="true" hidden="false" outlineLevel="0" max="15" min="15" style="77" width="21.14"/>
    <col collapsed="false" customWidth="false" hidden="false" outlineLevel="0" max="19" min="16" style="77" width="8.71"/>
    <col collapsed="false" customWidth="false" hidden="false" outlineLevel="0" max="16384" min="31" style="77" width="8.71"/>
  </cols>
  <sheetData>
    <row r="1" s="80" customFormat="true" ht="35.25" hidden="false" customHeight="true" outlineLevel="0" collapsed="false">
      <c r="A1" s="78" t="s">
        <v>92</v>
      </c>
      <c r="B1" s="78"/>
      <c r="C1" s="78"/>
      <c r="D1" s="78"/>
      <c r="E1" s="78"/>
      <c r="F1" s="78"/>
      <c r="G1" s="78"/>
      <c r="H1" s="78"/>
      <c r="I1" s="78"/>
      <c r="J1" s="79" t="s">
        <v>92</v>
      </c>
      <c r="K1" s="79"/>
      <c r="L1" s="79"/>
      <c r="M1" s="79"/>
      <c r="N1" s="79"/>
      <c r="O1" s="79"/>
      <c r="P1" s="79"/>
      <c r="Q1" s="79"/>
      <c r="R1" s="79"/>
      <c r="S1" s="79"/>
    </row>
    <row r="2" s="25" customFormat="true" ht="9" hidden="false" customHeight="true" outlineLevel="0" collapsed="false">
      <c r="A2" s="81"/>
      <c r="H2" s="77"/>
    </row>
    <row r="3" s="83" customFormat="true" ht="24.75" hidden="false" customHeight="true" outlineLevel="0" collapsed="false">
      <c r="A3" s="82" t="s">
        <v>93</v>
      </c>
      <c r="B3" s="82"/>
      <c r="C3" s="82"/>
      <c r="D3" s="82"/>
      <c r="E3" s="82"/>
      <c r="F3" s="82"/>
      <c r="G3" s="82"/>
      <c r="H3" s="82"/>
      <c r="I3" s="82"/>
      <c r="J3" s="82" t="s">
        <v>93</v>
      </c>
      <c r="K3" s="82"/>
      <c r="L3" s="82"/>
      <c r="M3" s="82"/>
      <c r="N3" s="82"/>
      <c r="O3" s="82"/>
      <c r="P3" s="82"/>
      <c r="Q3" s="82"/>
      <c r="R3" s="82"/>
      <c r="S3" s="82"/>
    </row>
    <row r="4" customFormat="false" ht="6.75" hidden="false" customHeight="true" outlineLevel="0" collapsed="false"/>
    <row r="5" s="84" customFormat="true" ht="6" hidden="false" customHeight="true" outlineLevel="0" collapsed="false">
      <c r="C5" s="85"/>
      <c r="D5" s="85"/>
      <c r="E5" s="85"/>
      <c r="F5" s="85"/>
      <c r="G5" s="85"/>
      <c r="H5" s="77"/>
    </row>
    <row r="6" s="88" customFormat="true" ht="37.5" hidden="false" customHeight="true" outlineLevel="0" collapsed="false">
      <c r="A6" s="86" t="s">
        <v>94</v>
      </c>
      <c r="B6" s="86"/>
      <c r="C6" s="86"/>
      <c r="D6" s="87" t="s">
        <v>95</v>
      </c>
      <c r="E6" s="87" t="s">
        <v>96</v>
      </c>
      <c r="H6" s="1"/>
    </row>
    <row r="7" customFormat="false" ht="21" hidden="false" customHeight="true" outlineLevel="0" collapsed="false">
      <c r="A7" s="89" t="s">
        <v>97</v>
      </c>
      <c r="B7" s="89"/>
      <c r="C7" s="89"/>
      <c r="D7" s="90" t="n">
        <v>1</v>
      </c>
      <c r="E7" s="91" t="n">
        <v>3</v>
      </c>
    </row>
    <row r="8" customFormat="false" ht="21" hidden="false" customHeight="true" outlineLevel="0" collapsed="false">
      <c r="A8" s="89" t="s">
        <v>98</v>
      </c>
      <c r="B8" s="89"/>
      <c r="C8" s="89"/>
      <c r="D8" s="92" t="n">
        <v>4</v>
      </c>
      <c r="E8" s="91" t="n">
        <v>3</v>
      </c>
    </row>
    <row r="9" customFormat="false" ht="21" hidden="false" customHeight="true" outlineLevel="0" collapsed="false">
      <c r="A9" s="89" t="s">
        <v>99</v>
      </c>
      <c r="B9" s="89"/>
      <c r="C9" s="89"/>
      <c r="D9" s="92" t="n">
        <v>2</v>
      </c>
      <c r="E9" s="91" t="n">
        <v>3</v>
      </c>
    </row>
    <row r="10" customFormat="false" ht="21" hidden="false" customHeight="true" outlineLevel="0" collapsed="false">
      <c r="A10" s="89" t="s">
        <v>100</v>
      </c>
      <c r="B10" s="89"/>
      <c r="C10" s="89"/>
      <c r="D10" s="93" t="n">
        <v>5</v>
      </c>
      <c r="E10" s="94" t="n">
        <v>3</v>
      </c>
      <c r="G10" s="36"/>
    </row>
    <row r="11" customFormat="false" ht="15.75" hidden="false" customHeight="true" outlineLevel="0" collapsed="false">
      <c r="A11" s="84"/>
      <c r="B11" s="84"/>
      <c r="C11" s="39"/>
      <c r="D11" s="39"/>
      <c r="E11" s="39"/>
      <c r="F11" s="39"/>
    </row>
    <row r="12" s="95" customFormat="true" ht="15" hidden="false" customHeight="false" outlineLevel="0" collapsed="false">
      <c r="C12" s="96" t="s">
        <v>101</v>
      </c>
      <c r="D12" s="96"/>
      <c r="E12" s="97" t="n">
        <f aca="false">AVERAGE(D7:D10)</f>
        <v>3</v>
      </c>
      <c r="F12" s="98"/>
      <c r="H12" s="77"/>
    </row>
    <row r="13" s="95" customFormat="true" ht="15" hidden="false" customHeight="false" outlineLevel="0" collapsed="false">
      <c r="C13" s="96" t="s">
        <v>102</v>
      </c>
      <c r="D13" s="96"/>
      <c r="E13" s="97" t="n">
        <f aca="false">STDEVP(D7:D10)</f>
        <v>1.58113883008419</v>
      </c>
      <c r="F13" s="98"/>
      <c r="H13" s="77"/>
    </row>
    <row r="14" s="95" customFormat="true" ht="15" hidden="false" customHeight="false" outlineLevel="0" collapsed="false">
      <c r="C14" s="96" t="s">
        <v>103</v>
      </c>
      <c r="D14" s="96"/>
      <c r="E14" s="97" t="n">
        <f aca="false">AVERAGE(E7:E10)/E12</f>
        <v>1</v>
      </c>
      <c r="F14" s="98"/>
      <c r="H14" s="77"/>
    </row>
    <row r="15" customFormat="false" ht="236.25" hidden="false" customHeight="true" outlineLevel="0" collapsed="false"/>
    <row r="16" customFormat="false" ht="76.5" hidden="false" customHeight="true" outlineLevel="0" collapsed="false"/>
    <row r="17" customFormat="false" ht="21" hidden="false" customHeight="true" outlineLevel="0" collapsed="false"/>
    <row r="18" s="84" customFormat="true" ht="24.75" hidden="false" customHeight="true" outlineLevel="0" collapsed="false">
      <c r="A18" s="99" t="s">
        <v>104</v>
      </c>
      <c r="B18" s="99"/>
      <c r="C18" s="99"/>
      <c r="D18" s="99"/>
      <c r="E18" s="99"/>
      <c r="F18" s="99"/>
      <c r="G18" s="99"/>
      <c r="H18" s="99"/>
      <c r="I18" s="99"/>
      <c r="J18" s="99" t="s">
        <v>104</v>
      </c>
      <c r="K18" s="99"/>
      <c r="L18" s="99"/>
      <c r="M18" s="99"/>
      <c r="N18" s="99"/>
      <c r="O18" s="99"/>
      <c r="P18" s="99"/>
      <c r="Q18" s="99"/>
      <c r="R18" s="99"/>
      <c r="S18" s="99"/>
    </row>
    <row r="19" customFormat="false" ht="6" hidden="false" customHeight="true" outlineLevel="0" collapsed="false">
      <c r="A19" s="100"/>
      <c r="B19" s="100"/>
      <c r="C19" s="100"/>
      <c r="D19" s="100"/>
      <c r="E19" s="100"/>
      <c r="F19" s="100"/>
      <c r="G19" s="100"/>
      <c r="H19" s="100"/>
      <c r="I19" s="100"/>
      <c r="J19" s="100"/>
      <c r="K19" s="100"/>
      <c r="L19" s="100"/>
      <c r="M19" s="100"/>
      <c r="N19" s="100"/>
    </row>
    <row r="20" s="25" customFormat="true" ht="41.25" hidden="false" customHeight="true" outlineLevel="0" collapsed="false">
      <c r="A20" s="101" t="s">
        <v>105</v>
      </c>
      <c r="B20" s="101"/>
      <c r="C20" s="101"/>
      <c r="D20" s="101"/>
      <c r="E20" s="77"/>
      <c r="F20" s="77"/>
      <c r="G20" s="77"/>
      <c r="H20" s="102"/>
      <c r="I20" s="103"/>
      <c r="J20" s="103"/>
      <c r="K20" s="103"/>
      <c r="L20" s="103"/>
      <c r="M20" s="103"/>
      <c r="N20" s="103"/>
    </row>
    <row r="21" s="84" customFormat="true" ht="42.75" hidden="false" customHeight="true" outlineLevel="0" collapsed="false">
      <c r="A21" s="104" t="s">
        <v>106</v>
      </c>
      <c r="B21" s="105" t="s">
        <v>107</v>
      </c>
      <c r="C21" s="105" t="s">
        <v>108</v>
      </c>
      <c r="D21" s="105" t="s">
        <v>109</v>
      </c>
      <c r="H21" s="102"/>
      <c r="I21" s="106"/>
      <c r="J21" s="106"/>
      <c r="K21" s="106"/>
      <c r="L21" s="106"/>
      <c r="M21" s="106"/>
      <c r="N21" s="106"/>
    </row>
    <row r="22" s="30" customFormat="true" ht="15" hidden="false" customHeight="false" outlineLevel="0" collapsed="false">
      <c r="A22" s="107" t="str">
        <f aca="false">LEFT(Canvas!A6,5)</f>
        <v>EDM01</v>
      </c>
      <c r="B22" s="108" t="n">
        <f aca="false" t="array" ref="B22:B61">MMULT(DF1map!B2:E41,DF1!D7:D10)</f>
        <v>15.5</v>
      </c>
      <c r="C22" s="109" t="n">
        <f aca="false" t="array" ref="C22:C61">MMULT(DF1map!B2:E41,DF1!E7:E10)</f>
        <v>15</v>
      </c>
      <c r="D22" s="110" t="n">
        <f aca="false">IFERROR(MROUND($E$14*100*B22/C22,5)-100,0)</f>
        <v>5</v>
      </c>
      <c r="H22" s="111"/>
      <c r="I22" s="111"/>
      <c r="J22" s="111"/>
      <c r="K22" s="111"/>
      <c r="L22" s="111"/>
      <c r="M22" s="111"/>
      <c r="N22" s="111"/>
    </row>
    <row r="23" s="30" customFormat="true" ht="15" hidden="false" customHeight="false" outlineLevel="0" collapsed="false">
      <c r="A23" s="107" t="str">
        <f aca="false">LEFT(Canvas!A7,5)</f>
        <v>EDM02</v>
      </c>
      <c r="B23" s="108" t="n">
        <v>27</v>
      </c>
      <c r="C23" s="109" t="n">
        <v>24</v>
      </c>
      <c r="D23" s="110" t="n">
        <f aca="false">IFERROR(MROUND($E$14*100*B23/C23,5)-100,0)</f>
        <v>15</v>
      </c>
      <c r="H23" s="111"/>
      <c r="I23" s="111"/>
      <c r="J23" s="112"/>
      <c r="K23" s="111"/>
      <c r="L23" s="111"/>
      <c r="M23" s="111"/>
      <c r="N23" s="111"/>
    </row>
    <row r="24" s="30" customFormat="true" ht="15" hidden="false" customHeight="false" outlineLevel="0" collapsed="false">
      <c r="A24" s="107" t="str">
        <f aca="false">LEFT(Canvas!A8,5)</f>
        <v>EDM03</v>
      </c>
      <c r="B24" s="108" t="n">
        <v>17</v>
      </c>
      <c r="C24" s="109" t="n">
        <v>15</v>
      </c>
      <c r="D24" s="110" t="n">
        <f aca="false">IFERROR(MROUND($E$14*100*B24/C24,5)-100,0)</f>
        <v>15</v>
      </c>
      <c r="H24" s="111"/>
      <c r="I24" s="111"/>
      <c r="J24" s="111"/>
      <c r="K24" s="111"/>
      <c r="L24" s="111"/>
      <c r="M24" s="111"/>
      <c r="N24" s="111"/>
    </row>
    <row r="25" s="30" customFormat="true" ht="15" hidden="false" customHeight="false" outlineLevel="0" collapsed="false">
      <c r="A25" s="107" t="str">
        <f aca="false">LEFT(Canvas!A9,5)</f>
        <v>EDM04</v>
      </c>
      <c r="B25" s="108" t="n">
        <v>18.5</v>
      </c>
      <c r="C25" s="109" t="n">
        <v>22.5</v>
      </c>
      <c r="D25" s="110" t="n">
        <f aca="false">IFERROR(MROUND($E$14*100*B25/C25,5)-100,0)</f>
        <v>-20</v>
      </c>
      <c r="H25" s="111"/>
      <c r="I25" s="111"/>
      <c r="J25" s="111"/>
      <c r="K25" s="111"/>
      <c r="L25" s="111"/>
      <c r="M25" s="111"/>
      <c r="N25" s="111"/>
    </row>
    <row r="26" s="30" customFormat="true" ht="15" hidden="false" customHeight="false" outlineLevel="0" collapsed="false">
      <c r="A26" s="107" t="str">
        <f aca="false">LEFT(Canvas!A10,5)</f>
        <v>EDM05</v>
      </c>
      <c r="B26" s="108" t="n">
        <v>19.5</v>
      </c>
      <c r="C26" s="109" t="n">
        <v>18</v>
      </c>
      <c r="D26" s="110" t="n">
        <f aca="false">IFERROR(MROUND($E$14*100*B26/C26,5)-100,0)</f>
        <v>10</v>
      </c>
      <c r="H26" s="111"/>
      <c r="I26" s="111"/>
      <c r="J26" s="111"/>
      <c r="K26" s="111"/>
      <c r="L26" s="111"/>
      <c r="M26" s="111"/>
      <c r="N26" s="111"/>
    </row>
    <row r="27" s="30" customFormat="true" ht="15" hidden="false" customHeight="false" outlineLevel="0" collapsed="false">
      <c r="A27" s="113" t="str">
        <f aca="false">LEFT(Canvas!A11,5)</f>
        <v>APO01</v>
      </c>
      <c r="B27" s="108" t="n">
        <v>12</v>
      </c>
      <c r="C27" s="109" t="n">
        <v>12</v>
      </c>
      <c r="D27" s="110" t="n">
        <f aca="false">IFERROR(MROUND($E$14*100*B27/C27,5)-100,0)</f>
        <v>0</v>
      </c>
      <c r="H27" s="111"/>
      <c r="I27" s="111"/>
      <c r="J27" s="111"/>
      <c r="K27" s="111"/>
      <c r="L27" s="111"/>
      <c r="M27" s="111"/>
      <c r="N27" s="111"/>
    </row>
    <row r="28" s="30" customFormat="true" ht="15" hidden="false" customHeight="false" outlineLevel="0" collapsed="false">
      <c r="A28" s="113" t="str">
        <f aca="false">LEFT(Canvas!A12,5)</f>
        <v>APO02</v>
      </c>
      <c r="B28" s="108" t="n">
        <v>25.5</v>
      </c>
      <c r="C28" s="109" t="n">
        <v>28.5</v>
      </c>
      <c r="D28" s="110" t="n">
        <f aca="false">IFERROR(MROUND($E$14*100*B28/C28,5)-100,0)</f>
        <v>-10</v>
      </c>
      <c r="H28" s="111"/>
      <c r="I28" s="111"/>
      <c r="J28" s="111"/>
      <c r="K28" s="111"/>
      <c r="L28" s="111"/>
      <c r="M28" s="111"/>
      <c r="N28" s="111"/>
    </row>
    <row r="29" s="30" customFormat="true" ht="15" hidden="false" customHeight="false" outlineLevel="0" collapsed="false">
      <c r="A29" s="113" t="str">
        <f aca="false">LEFT(Canvas!A13,5)</f>
        <v>APO03</v>
      </c>
      <c r="B29" s="108" t="n">
        <v>19</v>
      </c>
      <c r="C29" s="109" t="n">
        <v>24</v>
      </c>
      <c r="D29" s="110" t="n">
        <f aca="false">IFERROR(MROUND($E$14*100*B29/C29,5)-100,0)</f>
        <v>-20</v>
      </c>
      <c r="H29" s="111"/>
      <c r="I29" s="111"/>
      <c r="J29" s="111"/>
      <c r="K29" s="111"/>
      <c r="L29" s="111"/>
      <c r="M29" s="111"/>
      <c r="N29" s="111"/>
    </row>
    <row r="30" s="30" customFormat="true" ht="15" hidden="false" customHeight="false" outlineLevel="0" collapsed="false">
      <c r="A30" s="113" t="str">
        <f aca="false">LEFT(Canvas!A14,5)</f>
        <v>APO04</v>
      </c>
      <c r="B30" s="108" t="n">
        <v>24</v>
      </c>
      <c r="C30" s="109" t="n">
        <v>21</v>
      </c>
      <c r="D30" s="110" t="n">
        <f aca="false">IFERROR(MROUND($E$14*100*B30/C30,5)-100,0)</f>
        <v>15</v>
      </c>
      <c r="H30" s="111"/>
      <c r="I30" s="111"/>
      <c r="J30" s="111"/>
      <c r="K30" s="111"/>
      <c r="L30" s="111"/>
      <c r="M30" s="111"/>
      <c r="N30" s="111"/>
    </row>
    <row r="31" s="30" customFormat="true" ht="15" hidden="false" customHeight="false" outlineLevel="0" collapsed="false">
      <c r="A31" s="113" t="str">
        <f aca="false">LEFT(Canvas!A15,5)</f>
        <v>APO05</v>
      </c>
      <c r="B31" s="108" t="n">
        <v>29.5</v>
      </c>
      <c r="C31" s="109" t="n">
        <v>33</v>
      </c>
      <c r="D31" s="110" t="n">
        <f aca="false">IFERROR(MROUND($E$14*100*B31/C31,5)-100,0)</f>
        <v>-10</v>
      </c>
      <c r="H31" s="111"/>
      <c r="I31" s="111"/>
      <c r="J31" s="111"/>
      <c r="K31" s="111"/>
      <c r="L31" s="111"/>
      <c r="M31" s="111"/>
      <c r="N31" s="111"/>
    </row>
    <row r="32" s="30" customFormat="true" ht="15" hidden="false" customHeight="false" outlineLevel="0" collapsed="false">
      <c r="A32" s="113" t="str">
        <f aca="false">LEFT(Canvas!A16,5)</f>
        <v>APO06</v>
      </c>
      <c r="B32" s="108" t="n">
        <v>18.5</v>
      </c>
      <c r="C32" s="109" t="n">
        <v>22.5</v>
      </c>
      <c r="D32" s="110" t="n">
        <f aca="false">IFERROR(MROUND($E$14*100*B32/C32,5)-100,0)</f>
        <v>-20</v>
      </c>
      <c r="H32" s="111"/>
      <c r="I32" s="111"/>
      <c r="J32" s="111"/>
      <c r="K32" s="111"/>
      <c r="L32" s="111"/>
      <c r="M32" s="111"/>
      <c r="N32" s="111"/>
    </row>
    <row r="33" s="30" customFormat="true" ht="15" hidden="false" customHeight="false" outlineLevel="0" collapsed="false">
      <c r="A33" s="113" t="str">
        <f aca="false">LEFT(Canvas!A17,5)</f>
        <v>APO07</v>
      </c>
      <c r="B33" s="108" t="n">
        <v>13</v>
      </c>
      <c r="C33" s="109" t="n">
        <v>15</v>
      </c>
      <c r="D33" s="110" t="n">
        <f aca="false">IFERROR(MROUND($E$14*100*B33/C33,5)-100,0)</f>
        <v>-15</v>
      </c>
      <c r="H33" s="111"/>
      <c r="I33" s="111"/>
      <c r="J33" s="111"/>
      <c r="K33" s="111"/>
      <c r="L33" s="111"/>
      <c r="M33" s="111"/>
      <c r="N33" s="111"/>
    </row>
    <row r="34" s="30" customFormat="true" ht="15" hidden="false" customHeight="false" outlineLevel="0" collapsed="false">
      <c r="A34" s="113" t="str">
        <f aca="false">LEFT(Canvas!A18,5)</f>
        <v>APO08</v>
      </c>
      <c r="B34" s="108" t="n">
        <v>26.5</v>
      </c>
      <c r="C34" s="109" t="n">
        <v>21</v>
      </c>
      <c r="D34" s="110" t="n">
        <f aca="false">IFERROR(MROUND($E$14*100*B34/C34,5)-100,0)</f>
        <v>25</v>
      </c>
      <c r="H34" s="111"/>
      <c r="I34" s="111"/>
      <c r="J34" s="111"/>
      <c r="K34" s="111"/>
      <c r="L34" s="111"/>
      <c r="M34" s="111"/>
      <c r="N34" s="111"/>
    </row>
    <row r="35" s="30" customFormat="true" ht="15" hidden="false" customHeight="false" outlineLevel="0" collapsed="false">
      <c r="A35" s="113" t="str">
        <f aca="false">LEFT(Canvas!A19,5)</f>
        <v>APO09</v>
      </c>
      <c r="B35" s="108" t="n">
        <v>28</v>
      </c>
      <c r="C35" s="109" t="n">
        <v>22.5</v>
      </c>
      <c r="D35" s="110" t="n">
        <f aca="false">IFERROR(MROUND($E$14*100*B35/C35,5)-100,0)</f>
        <v>25</v>
      </c>
      <c r="H35" s="111"/>
      <c r="I35" s="111"/>
      <c r="J35" s="111"/>
      <c r="K35" s="111"/>
      <c r="L35" s="111"/>
      <c r="M35" s="111"/>
      <c r="N35" s="111"/>
    </row>
    <row r="36" s="30" customFormat="true" ht="15" hidden="false" customHeight="false" outlineLevel="0" collapsed="false">
      <c r="A36" s="113" t="str">
        <f aca="false">LEFT(Canvas!A20,5)</f>
        <v>APO10</v>
      </c>
      <c r="B36" s="108" t="n">
        <v>19.5</v>
      </c>
      <c r="C36" s="109" t="n">
        <v>21</v>
      </c>
      <c r="D36" s="110" t="n">
        <f aca="false">IFERROR(MROUND($E$14*100*B36/C36,5)-100,0)</f>
        <v>-5</v>
      </c>
      <c r="H36" s="111"/>
      <c r="I36" s="111"/>
      <c r="J36" s="111"/>
      <c r="K36" s="111"/>
      <c r="L36" s="111"/>
      <c r="M36" s="111"/>
      <c r="N36" s="111"/>
    </row>
    <row r="37" s="30" customFormat="true" ht="15" hidden="false" customHeight="false" outlineLevel="0" collapsed="false">
      <c r="A37" s="113" t="str">
        <f aca="false">LEFT(Canvas!A21,5)</f>
        <v>APO11</v>
      </c>
      <c r="B37" s="108" t="n">
        <v>27</v>
      </c>
      <c r="C37" s="109" t="n">
        <v>21</v>
      </c>
      <c r="D37" s="110" t="n">
        <f aca="false">IFERROR(MROUND($E$14*100*B37/C37,5)-100,0)</f>
        <v>30</v>
      </c>
      <c r="H37" s="111"/>
      <c r="I37" s="111"/>
      <c r="J37" s="111"/>
      <c r="K37" s="111"/>
      <c r="L37" s="111"/>
      <c r="M37" s="111"/>
      <c r="N37" s="111"/>
    </row>
    <row r="38" s="30" customFormat="true" ht="15" hidden="false" customHeight="false" outlineLevel="0" collapsed="false">
      <c r="A38" s="113" t="str">
        <f aca="false">LEFT(Canvas!A22,5)</f>
        <v>APO12</v>
      </c>
      <c r="B38" s="108" t="n">
        <v>21.5</v>
      </c>
      <c r="C38" s="109" t="n">
        <v>18</v>
      </c>
      <c r="D38" s="110" t="n">
        <f aca="false">IFERROR(MROUND($E$14*100*B38/C38,5)-100,0)</f>
        <v>20</v>
      </c>
      <c r="H38" s="111"/>
      <c r="I38" s="111"/>
      <c r="J38" s="111"/>
      <c r="K38" s="111"/>
      <c r="L38" s="111"/>
      <c r="M38" s="111"/>
      <c r="N38" s="111"/>
    </row>
    <row r="39" s="30" customFormat="true" ht="15" hidden="false" customHeight="false" outlineLevel="0" collapsed="false">
      <c r="A39" s="113" t="str">
        <f aca="false">LEFT(Canvas!A23,5)</f>
        <v>APO13</v>
      </c>
      <c r="B39" s="108" t="n">
        <v>19.5</v>
      </c>
      <c r="C39" s="109" t="n">
        <v>16.5</v>
      </c>
      <c r="D39" s="110" t="n">
        <f aca="false">IFERROR(MROUND($E$14*100*B39/C39,5)-100,0)</f>
        <v>20</v>
      </c>
      <c r="H39" s="111"/>
      <c r="I39" s="111"/>
      <c r="J39" s="111"/>
      <c r="K39" s="111"/>
      <c r="L39" s="111"/>
      <c r="M39" s="111"/>
      <c r="N39" s="111"/>
    </row>
    <row r="40" s="30" customFormat="true" ht="15" hidden="false" customHeight="false" outlineLevel="0" collapsed="false">
      <c r="A40" s="113" t="str">
        <f aca="false">LEFT(Canvas!A24,5)</f>
        <v>APO14</v>
      </c>
      <c r="B40" s="108" t="n">
        <v>12</v>
      </c>
      <c r="C40" s="109" t="n">
        <v>12</v>
      </c>
      <c r="D40" s="110" t="n">
        <f aca="false">IFERROR(MROUND($E$14*100*B40/C40,5)-100,0)</f>
        <v>0</v>
      </c>
      <c r="H40" s="111"/>
      <c r="I40" s="111"/>
      <c r="J40" s="111"/>
      <c r="K40" s="111"/>
      <c r="L40" s="111"/>
      <c r="M40" s="111"/>
      <c r="N40" s="111"/>
    </row>
    <row r="41" s="30" customFormat="true" ht="15" hidden="false" customHeight="false" outlineLevel="0" collapsed="false">
      <c r="A41" s="107" t="str">
        <f aca="false">LEFT(Canvas!A25,5)</f>
        <v>BAI01</v>
      </c>
      <c r="B41" s="108" t="n">
        <v>22.5</v>
      </c>
      <c r="C41" s="109" t="n">
        <v>27</v>
      </c>
      <c r="D41" s="110" t="n">
        <f aca="false">IFERROR(MROUND($E$14*100*B41/C41,5)-100,0)</f>
        <v>-15</v>
      </c>
      <c r="H41" s="111"/>
      <c r="I41" s="111"/>
      <c r="J41" s="111"/>
      <c r="K41" s="111"/>
      <c r="L41" s="111"/>
      <c r="M41" s="111"/>
      <c r="N41" s="111"/>
    </row>
    <row r="42" s="30" customFormat="true" ht="15" hidden="false" customHeight="false" outlineLevel="0" collapsed="false">
      <c r="A42" s="107" t="str">
        <f aca="false">LEFT(Canvas!A26,5)</f>
        <v>BAI02</v>
      </c>
      <c r="B42" s="108" t="n">
        <v>13</v>
      </c>
      <c r="C42" s="109" t="n">
        <v>13.5</v>
      </c>
      <c r="D42" s="110" t="n">
        <f aca="false">IFERROR(MROUND($E$14*100*B42/C42,5)-100,0)</f>
        <v>-5</v>
      </c>
      <c r="H42" s="111"/>
      <c r="I42" s="111"/>
      <c r="J42" s="111"/>
      <c r="K42" s="111"/>
      <c r="L42" s="111"/>
      <c r="M42" s="111"/>
      <c r="N42" s="111"/>
    </row>
    <row r="43" s="30" customFormat="true" ht="15" hidden="false" customHeight="false" outlineLevel="0" collapsed="false">
      <c r="A43" s="107" t="str">
        <f aca="false">LEFT(Canvas!A27,5)</f>
        <v>BAI03</v>
      </c>
      <c r="B43" s="108" t="n">
        <v>13</v>
      </c>
      <c r="C43" s="109" t="n">
        <v>13.5</v>
      </c>
      <c r="D43" s="110" t="n">
        <f aca="false">IFERROR(MROUND($E$14*100*B43/C43,5)-100,0)</f>
        <v>-5</v>
      </c>
      <c r="H43" s="111"/>
      <c r="I43" s="111"/>
      <c r="J43" s="111"/>
      <c r="K43" s="111"/>
      <c r="L43" s="111"/>
      <c r="M43" s="111"/>
      <c r="N43" s="111"/>
    </row>
    <row r="44" s="30" customFormat="true" ht="15" hidden="false" customHeight="false" outlineLevel="0" collapsed="false">
      <c r="A44" s="107" t="str">
        <f aca="false">LEFT(Canvas!A28,5)</f>
        <v>BAI04</v>
      </c>
      <c r="B44" s="108" t="n">
        <v>22</v>
      </c>
      <c r="C44" s="109" t="n">
        <v>18</v>
      </c>
      <c r="D44" s="110" t="n">
        <f aca="false">IFERROR(MROUND($E$14*100*B44/C44,5)-100,0)</f>
        <v>20</v>
      </c>
      <c r="H44" s="111"/>
      <c r="I44" s="111"/>
      <c r="J44" s="111"/>
      <c r="K44" s="111"/>
      <c r="L44" s="111"/>
      <c r="M44" s="111"/>
      <c r="N44" s="111"/>
    </row>
    <row r="45" s="30" customFormat="true" ht="15" hidden="false" customHeight="false" outlineLevel="0" collapsed="false">
      <c r="A45" s="107" t="str">
        <f aca="false">LEFT(Canvas!A29,5)</f>
        <v>BAI05</v>
      </c>
      <c r="B45" s="108" t="n">
        <v>21.5</v>
      </c>
      <c r="C45" s="109" t="n">
        <v>25.5</v>
      </c>
      <c r="D45" s="110" t="n">
        <f aca="false">IFERROR(MROUND($E$14*100*B45/C45,5)-100,0)</f>
        <v>-15</v>
      </c>
      <c r="H45" s="111"/>
      <c r="I45" s="111"/>
      <c r="J45" s="111"/>
      <c r="K45" s="111"/>
      <c r="L45" s="111"/>
      <c r="M45" s="111"/>
      <c r="N45" s="111"/>
    </row>
    <row r="46" s="30" customFormat="true" ht="15" hidden="false" customHeight="false" outlineLevel="0" collapsed="false">
      <c r="A46" s="107" t="str">
        <f aca="false">LEFT(Canvas!A30,5)</f>
        <v>BAI06</v>
      </c>
      <c r="B46" s="108" t="n">
        <v>19.5</v>
      </c>
      <c r="C46" s="109" t="n">
        <v>19.5</v>
      </c>
      <c r="D46" s="110" t="n">
        <f aca="false">IFERROR(MROUND($E$14*100*B46/C46,5)-100,0)</f>
        <v>0</v>
      </c>
      <c r="H46" s="111"/>
      <c r="I46" s="111"/>
      <c r="J46" s="111"/>
      <c r="K46" s="111"/>
      <c r="L46" s="111"/>
      <c r="M46" s="111"/>
      <c r="N46" s="111"/>
    </row>
    <row r="47" s="30" customFormat="true" ht="15" hidden="false" customHeight="false" outlineLevel="0" collapsed="false">
      <c r="A47" s="107" t="str">
        <f aca="false">LEFT(Canvas!A31,5)</f>
        <v>BAI07</v>
      </c>
      <c r="B47" s="108" t="n">
        <v>19</v>
      </c>
      <c r="C47" s="109" t="n">
        <v>18</v>
      </c>
      <c r="D47" s="110" t="n">
        <f aca="false">IFERROR(MROUND($E$14*100*B47/C47,5)-100,0)</f>
        <v>5</v>
      </c>
      <c r="H47" s="111"/>
      <c r="I47" s="111"/>
      <c r="J47" s="111"/>
      <c r="K47" s="111"/>
      <c r="L47" s="111"/>
      <c r="M47" s="111"/>
      <c r="N47" s="111"/>
    </row>
    <row r="48" s="30" customFormat="true" ht="15" hidden="false" customHeight="false" outlineLevel="0" collapsed="false">
      <c r="A48" s="107" t="str">
        <f aca="false">LEFT(Canvas!A32,5)</f>
        <v>BAI08</v>
      </c>
      <c r="B48" s="108" t="n">
        <v>22</v>
      </c>
      <c r="C48" s="109" t="n">
        <v>19.5</v>
      </c>
      <c r="D48" s="110" t="n">
        <f aca="false">IFERROR(MROUND($E$14*100*B48/C48,5)-100,0)</f>
        <v>15</v>
      </c>
      <c r="H48" s="111"/>
      <c r="I48" s="111"/>
      <c r="J48" s="111"/>
      <c r="K48" s="111"/>
      <c r="L48" s="111"/>
      <c r="M48" s="111"/>
      <c r="N48" s="111"/>
    </row>
    <row r="49" s="30" customFormat="true" ht="15" hidden="false" customHeight="false" outlineLevel="0" collapsed="false">
      <c r="A49" s="107" t="str">
        <f aca="false">LEFT(Canvas!A33,5)</f>
        <v>BAI09</v>
      </c>
      <c r="B49" s="108" t="n">
        <v>12</v>
      </c>
      <c r="C49" s="109" t="n">
        <v>12</v>
      </c>
      <c r="D49" s="110" t="n">
        <f aca="false">IFERROR(MROUND($E$14*100*B49/C49,5)-100,0)</f>
        <v>0</v>
      </c>
      <c r="H49" s="111"/>
      <c r="I49" s="111"/>
      <c r="J49" s="111"/>
      <c r="K49" s="111"/>
      <c r="L49" s="111"/>
      <c r="M49" s="111"/>
      <c r="N49" s="111"/>
    </row>
    <row r="50" s="30" customFormat="true" ht="15" hidden="false" customHeight="false" outlineLevel="0" collapsed="false">
      <c r="A50" s="107" t="str">
        <f aca="false">LEFT(Canvas!A34,5)</f>
        <v>BAI10</v>
      </c>
      <c r="B50" s="108" t="n">
        <v>12</v>
      </c>
      <c r="C50" s="109" t="n">
        <v>12</v>
      </c>
      <c r="D50" s="110" t="n">
        <f aca="false">IFERROR(MROUND($E$14*100*B50/C50,5)-100,0)</f>
        <v>0</v>
      </c>
      <c r="H50" s="111"/>
      <c r="I50" s="111"/>
      <c r="J50" s="111"/>
      <c r="K50" s="111"/>
      <c r="L50" s="111"/>
      <c r="M50" s="111"/>
      <c r="N50" s="111"/>
    </row>
    <row r="51" s="30" customFormat="true" ht="15" hidden="false" customHeight="false" outlineLevel="0" collapsed="false">
      <c r="A51" s="107" t="str">
        <f aca="false">LEFT(Canvas!A35,5)</f>
        <v>BAI11</v>
      </c>
      <c r="B51" s="108" t="n">
        <v>23.5</v>
      </c>
      <c r="C51" s="109" t="n">
        <v>27</v>
      </c>
      <c r="D51" s="110" t="n">
        <f aca="false">IFERROR(MROUND($E$14*100*B51/C51,5)-100,0)</f>
        <v>-15</v>
      </c>
      <c r="H51" s="111"/>
      <c r="I51" s="111"/>
      <c r="J51" s="111"/>
      <c r="K51" s="111"/>
      <c r="L51" s="111"/>
      <c r="M51" s="111"/>
      <c r="N51" s="111"/>
    </row>
    <row r="52" s="30" customFormat="true" ht="15" hidden="false" customHeight="false" outlineLevel="0" collapsed="false">
      <c r="A52" s="113" t="str">
        <f aca="false">LEFT(Canvas!A36,5)</f>
        <v>DSS01</v>
      </c>
      <c r="B52" s="108" t="n">
        <v>14.5</v>
      </c>
      <c r="C52" s="109" t="n">
        <v>13.5</v>
      </c>
      <c r="D52" s="110" t="n">
        <f aca="false">IFERROR(MROUND($E$14*100*B52/C52,5)-100,0)</f>
        <v>5</v>
      </c>
      <c r="H52" s="111"/>
      <c r="I52" s="111"/>
      <c r="J52" s="111"/>
      <c r="K52" s="111"/>
      <c r="L52" s="111"/>
      <c r="M52" s="111"/>
      <c r="N52" s="111"/>
    </row>
    <row r="53" s="30" customFormat="true" ht="15" hidden="false" customHeight="false" outlineLevel="0" collapsed="false">
      <c r="A53" s="113" t="str">
        <f aca="false">LEFT(Canvas!A37,5)</f>
        <v>DSS02</v>
      </c>
      <c r="B53" s="108" t="n">
        <v>27</v>
      </c>
      <c r="C53" s="109" t="n">
        <v>21</v>
      </c>
      <c r="D53" s="110" t="n">
        <f aca="false">IFERROR(MROUND($E$14*100*B53/C53,5)-100,0)</f>
        <v>30</v>
      </c>
      <c r="H53" s="111"/>
      <c r="I53" s="111"/>
      <c r="J53" s="111"/>
      <c r="K53" s="111"/>
      <c r="L53" s="111"/>
      <c r="M53" s="111"/>
      <c r="N53" s="111"/>
    </row>
    <row r="54" s="30" customFormat="true" ht="15" hidden="false" customHeight="false" outlineLevel="0" collapsed="false">
      <c r="A54" s="113" t="str">
        <f aca="false">LEFT(Canvas!A38,5)</f>
        <v>DSS03</v>
      </c>
      <c r="B54" s="108" t="n">
        <v>22</v>
      </c>
      <c r="C54" s="109" t="n">
        <v>18</v>
      </c>
      <c r="D54" s="110" t="n">
        <f aca="false">IFERROR(MROUND($E$14*100*B54/C54,5)-100,0)</f>
        <v>20</v>
      </c>
      <c r="H54" s="111"/>
      <c r="I54" s="111"/>
      <c r="J54" s="111"/>
      <c r="K54" s="111"/>
      <c r="L54" s="111"/>
      <c r="M54" s="111"/>
      <c r="N54" s="111"/>
    </row>
    <row r="55" s="30" customFormat="true" ht="15" hidden="false" customHeight="false" outlineLevel="0" collapsed="false">
      <c r="A55" s="113" t="str">
        <f aca="false">LEFT(Canvas!A39,5)</f>
        <v>DSS04</v>
      </c>
      <c r="B55" s="108" t="n">
        <v>27</v>
      </c>
      <c r="C55" s="109" t="n">
        <v>21</v>
      </c>
      <c r="D55" s="110" t="n">
        <f aca="false">IFERROR(MROUND($E$14*100*B55/C55,5)-100,0)</f>
        <v>30</v>
      </c>
      <c r="H55" s="111"/>
      <c r="I55" s="111"/>
      <c r="J55" s="111"/>
      <c r="K55" s="111"/>
      <c r="L55" s="111"/>
      <c r="M55" s="111"/>
      <c r="N55" s="111"/>
    </row>
    <row r="56" s="30" customFormat="true" ht="15" hidden="false" customHeight="false" outlineLevel="0" collapsed="false">
      <c r="A56" s="113" t="str">
        <f aca="false">LEFT(Canvas!A40,5)</f>
        <v>DSS05</v>
      </c>
      <c r="B56" s="108" t="n">
        <v>19.5</v>
      </c>
      <c r="C56" s="109" t="n">
        <v>16.5</v>
      </c>
      <c r="D56" s="110" t="n">
        <f aca="false">IFERROR(MROUND($E$14*100*B56/C56,5)-100,0)</f>
        <v>20</v>
      </c>
      <c r="H56" s="111"/>
      <c r="I56" s="111"/>
      <c r="J56" s="111"/>
      <c r="K56" s="111"/>
      <c r="L56" s="111"/>
      <c r="M56" s="111"/>
      <c r="N56" s="111"/>
    </row>
    <row r="57" s="30" customFormat="true" ht="15" hidden="false" customHeight="false" outlineLevel="0" collapsed="false">
      <c r="A57" s="113" t="str">
        <f aca="false">LEFT(Canvas!A41,5)</f>
        <v>DSS06</v>
      </c>
      <c r="B57" s="108" t="n">
        <v>14.5</v>
      </c>
      <c r="C57" s="109" t="n">
        <v>13.5</v>
      </c>
      <c r="D57" s="110" t="n">
        <f aca="false">IFERROR(MROUND($E$14*100*B57/C57,5)-100,0)</f>
        <v>5</v>
      </c>
      <c r="H57" s="111"/>
      <c r="I57" s="111"/>
      <c r="J57" s="111"/>
      <c r="K57" s="111"/>
      <c r="L57" s="111"/>
      <c r="M57" s="111"/>
      <c r="N57" s="111"/>
    </row>
    <row r="58" s="30" customFormat="true" ht="15" hidden="false" customHeight="false" outlineLevel="0" collapsed="false">
      <c r="A58" s="107" t="str">
        <f aca="false">LEFT(Canvas!A42,5)</f>
        <v>MEA01</v>
      </c>
      <c r="B58" s="108" t="n">
        <v>12</v>
      </c>
      <c r="C58" s="109" t="n">
        <v>12</v>
      </c>
      <c r="D58" s="110" t="n">
        <f aca="false">IFERROR(MROUND($E$14*100*B58/C58,5)-100,0)</f>
        <v>0</v>
      </c>
      <c r="H58" s="111"/>
      <c r="I58" s="111"/>
      <c r="J58" s="111"/>
      <c r="K58" s="111"/>
      <c r="L58" s="111"/>
      <c r="M58" s="111"/>
      <c r="N58" s="111"/>
    </row>
    <row r="59" s="30" customFormat="true" ht="15" hidden="false" customHeight="false" outlineLevel="0" collapsed="false">
      <c r="A59" s="107" t="str">
        <f aca="false">LEFT(Canvas!A43,5)</f>
        <v>MEA02</v>
      </c>
      <c r="B59" s="108" t="n">
        <v>12</v>
      </c>
      <c r="C59" s="109" t="n">
        <v>12</v>
      </c>
      <c r="D59" s="110" t="n">
        <f aca="false">IFERROR(MROUND($E$14*100*B59/C59,5)-100,0)</f>
        <v>0</v>
      </c>
      <c r="H59" s="111"/>
      <c r="I59" s="111"/>
      <c r="J59" s="111"/>
      <c r="K59" s="111"/>
      <c r="L59" s="111"/>
      <c r="M59" s="111"/>
      <c r="N59" s="111"/>
    </row>
    <row r="60" s="30" customFormat="true" ht="15" hidden="false" customHeight="false" outlineLevel="0" collapsed="false">
      <c r="A60" s="107" t="str">
        <f aca="false">LEFT(Canvas!A44,5)</f>
        <v>MEA03</v>
      </c>
      <c r="B60" s="108" t="n">
        <v>12</v>
      </c>
      <c r="C60" s="109" t="n">
        <v>12</v>
      </c>
      <c r="D60" s="110" t="n">
        <f aca="false">IFERROR(MROUND($E$14*100*B60/C60,5)-100,0)</f>
        <v>0</v>
      </c>
      <c r="H60" s="111"/>
      <c r="I60" s="111"/>
      <c r="J60" s="111"/>
      <c r="K60" s="111"/>
      <c r="L60" s="111"/>
      <c r="M60" s="111"/>
      <c r="N60" s="111"/>
    </row>
    <row r="61" s="30" customFormat="true" ht="15" hidden="false" customHeight="false" outlineLevel="0" collapsed="false">
      <c r="A61" s="107" t="str">
        <f aca="false">LEFT(Canvas!A45,5)</f>
        <v>MEA04</v>
      </c>
      <c r="B61" s="108" t="n">
        <v>12</v>
      </c>
      <c r="C61" s="109" t="n">
        <v>12</v>
      </c>
      <c r="D61" s="110" t="n">
        <f aca="false">IFERROR(MROUND($E$14*100*B61/C61,5)-100,0)</f>
        <v>0</v>
      </c>
      <c r="H61" s="111"/>
      <c r="I61" s="111"/>
      <c r="J61" s="111"/>
      <c r="K61" s="111"/>
      <c r="L61" s="111"/>
      <c r="M61" s="111"/>
      <c r="N61" s="111"/>
    </row>
  </sheetData>
  <mergeCells count="13">
    <mergeCell ref="A1:I1"/>
    <mergeCell ref="J1:S1"/>
    <mergeCell ref="A3:I3"/>
    <mergeCell ref="J3:S3"/>
    <mergeCell ref="C5:G5"/>
    <mergeCell ref="A6:C6"/>
    <mergeCell ref="A7:C7"/>
    <mergeCell ref="A8:C8"/>
    <mergeCell ref="A9:C9"/>
    <mergeCell ref="A10:C10"/>
    <mergeCell ref="A18:I18"/>
    <mergeCell ref="J18:S18"/>
    <mergeCell ref="A20:D20"/>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16"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E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15" activeCellId="0" sqref="F15"/>
    </sheetView>
  </sheetViews>
  <sheetFormatPr defaultColWidth="8.859375" defaultRowHeight="15" zeroHeight="false" outlineLevelRow="0" outlineLevelCol="0"/>
  <cols>
    <col collapsed="false" customWidth="true" hidden="false" outlineLevel="0" max="1" min="1" style="47" width="21.29"/>
    <col collapsed="false" customWidth="true" hidden="false" outlineLevel="0" max="5" min="2" style="36" width="15.42"/>
  </cols>
  <sheetData>
    <row r="1" s="81" customFormat="true" ht="25.5" hidden="false" customHeight="true" outlineLevel="0" collapsed="false">
      <c r="A1" s="114" t="s">
        <v>10</v>
      </c>
      <c r="B1" s="52" t="s">
        <v>110</v>
      </c>
      <c r="C1" s="52" t="s">
        <v>111</v>
      </c>
      <c r="D1" s="52" t="s">
        <v>99</v>
      </c>
      <c r="E1" s="52" t="s">
        <v>112</v>
      </c>
    </row>
    <row r="2" customFormat="false" ht="15" hidden="false" customHeight="false" outlineLevel="0" collapsed="false">
      <c r="A2" s="115" t="s">
        <v>113</v>
      </c>
      <c r="B2" s="116" t="n">
        <v>1</v>
      </c>
      <c r="C2" s="116" t="n">
        <v>1</v>
      </c>
      <c r="D2" s="116" t="n">
        <v>1.5</v>
      </c>
      <c r="E2" s="116" t="n">
        <v>1.5</v>
      </c>
    </row>
    <row r="3" customFormat="false" ht="15" hidden="false" customHeight="false" outlineLevel="0" collapsed="false">
      <c r="A3" s="115" t="s">
        <v>114</v>
      </c>
      <c r="B3" s="116" t="n">
        <v>1.5</v>
      </c>
      <c r="C3" s="116" t="n">
        <v>1</v>
      </c>
      <c r="D3" s="116" t="n">
        <v>2</v>
      </c>
      <c r="E3" s="116" t="n">
        <v>3.5</v>
      </c>
    </row>
    <row r="4" customFormat="false" ht="15" hidden="false" customHeight="false" outlineLevel="0" collapsed="false">
      <c r="A4" s="115" t="s">
        <v>115</v>
      </c>
      <c r="B4" s="116" t="n">
        <v>1</v>
      </c>
      <c r="C4" s="116" t="n">
        <v>1</v>
      </c>
      <c r="D4" s="116" t="n">
        <v>1</v>
      </c>
      <c r="E4" s="116" t="n">
        <v>2</v>
      </c>
    </row>
    <row r="5" customFormat="false" ht="15" hidden="false" customHeight="false" outlineLevel="0" collapsed="false">
      <c r="A5" s="115" t="s">
        <v>116</v>
      </c>
      <c r="B5" s="116" t="n">
        <v>1.5</v>
      </c>
      <c r="C5" s="116" t="n">
        <v>1</v>
      </c>
      <c r="D5" s="116" t="n">
        <v>4</v>
      </c>
      <c r="E5" s="116" t="n">
        <v>1</v>
      </c>
    </row>
    <row r="6" customFormat="false" ht="15" hidden="false" customHeight="false" outlineLevel="0" collapsed="false">
      <c r="A6" s="115" t="s">
        <v>117</v>
      </c>
      <c r="B6" s="116" t="n">
        <v>1.5</v>
      </c>
      <c r="C6" s="116" t="n">
        <v>1.5</v>
      </c>
      <c r="D6" s="116" t="n">
        <v>1</v>
      </c>
      <c r="E6" s="116" t="n">
        <v>2</v>
      </c>
    </row>
    <row r="7" customFormat="false" ht="15" hidden="false" customHeight="false" outlineLevel="0" collapsed="false">
      <c r="A7" s="117" t="s">
        <v>118</v>
      </c>
      <c r="B7" s="116" t="n">
        <v>1</v>
      </c>
      <c r="C7" s="116" t="n">
        <v>1</v>
      </c>
      <c r="D7" s="116" t="n">
        <v>1</v>
      </c>
      <c r="E7" s="116" t="n">
        <v>1</v>
      </c>
    </row>
    <row r="8" customFormat="false" ht="15" hidden="false" customHeight="false" outlineLevel="0" collapsed="false">
      <c r="A8" s="117" t="s">
        <v>119</v>
      </c>
      <c r="B8" s="116" t="n">
        <v>3.5</v>
      </c>
      <c r="C8" s="116" t="n">
        <v>3.5</v>
      </c>
      <c r="D8" s="116" t="n">
        <v>1.5</v>
      </c>
      <c r="E8" s="116" t="n">
        <v>1</v>
      </c>
    </row>
    <row r="9" customFormat="false" ht="15" hidden="false" customHeight="false" outlineLevel="0" collapsed="false">
      <c r="A9" s="117" t="s">
        <v>120</v>
      </c>
      <c r="B9" s="116" t="n">
        <v>4</v>
      </c>
      <c r="C9" s="116" t="n">
        <v>2</v>
      </c>
      <c r="D9" s="116" t="n">
        <v>1</v>
      </c>
      <c r="E9" s="116" t="n">
        <v>1</v>
      </c>
    </row>
    <row r="10" customFormat="false" ht="15" hidden="false" customHeight="false" outlineLevel="0" collapsed="false">
      <c r="A10" s="117" t="s">
        <v>121</v>
      </c>
      <c r="B10" s="116" t="n">
        <v>1</v>
      </c>
      <c r="C10" s="116" t="n">
        <v>4</v>
      </c>
      <c r="D10" s="116" t="n">
        <v>1</v>
      </c>
      <c r="E10" s="116" t="n">
        <v>1</v>
      </c>
    </row>
    <row r="11" customFormat="false" ht="15" hidden="false" customHeight="false" outlineLevel="0" collapsed="false">
      <c r="A11" s="117" t="s">
        <v>122</v>
      </c>
      <c r="B11" s="116" t="n">
        <v>3.5</v>
      </c>
      <c r="C11" s="116" t="n">
        <v>4</v>
      </c>
      <c r="D11" s="116" t="n">
        <v>2.5</v>
      </c>
      <c r="E11" s="116" t="n">
        <v>1</v>
      </c>
    </row>
    <row r="12" customFormat="false" ht="15" hidden="false" customHeight="false" outlineLevel="0" collapsed="false">
      <c r="A12" s="117" t="s">
        <v>123</v>
      </c>
      <c r="B12" s="116" t="n">
        <v>1.5</v>
      </c>
      <c r="C12" s="116" t="n">
        <v>1</v>
      </c>
      <c r="D12" s="116" t="n">
        <v>4</v>
      </c>
      <c r="E12" s="116" t="n">
        <v>1</v>
      </c>
    </row>
    <row r="13" customFormat="false" ht="15" hidden="false" customHeight="false" outlineLevel="0" collapsed="false">
      <c r="A13" s="117" t="s">
        <v>124</v>
      </c>
      <c r="B13" s="116" t="n">
        <v>2</v>
      </c>
      <c r="C13" s="116" t="n">
        <v>1</v>
      </c>
      <c r="D13" s="116" t="n">
        <v>1</v>
      </c>
      <c r="E13" s="116" t="n">
        <v>1</v>
      </c>
    </row>
    <row r="14" customFormat="false" ht="15" hidden="false" customHeight="false" outlineLevel="0" collapsed="false">
      <c r="A14" s="117" t="s">
        <v>125</v>
      </c>
      <c r="B14" s="116" t="n">
        <v>1</v>
      </c>
      <c r="C14" s="116" t="n">
        <v>1.5</v>
      </c>
      <c r="D14" s="116" t="n">
        <v>1</v>
      </c>
      <c r="E14" s="116" t="n">
        <v>3.5</v>
      </c>
    </row>
    <row r="15" customFormat="false" ht="15" hidden="false" customHeight="false" outlineLevel="0" collapsed="false">
      <c r="A15" s="117" t="s">
        <v>126</v>
      </c>
      <c r="B15" s="116" t="n">
        <v>1</v>
      </c>
      <c r="C15" s="116" t="n">
        <v>1</v>
      </c>
      <c r="D15" s="116" t="n">
        <v>1.5</v>
      </c>
      <c r="E15" s="116" t="n">
        <v>4</v>
      </c>
    </row>
    <row r="16" customFormat="false" ht="15" hidden="false" customHeight="false" outlineLevel="0" collapsed="false">
      <c r="A16" s="117" t="s">
        <v>127</v>
      </c>
      <c r="B16" s="116" t="n">
        <v>1</v>
      </c>
      <c r="C16" s="116" t="n">
        <v>1</v>
      </c>
      <c r="D16" s="116" t="n">
        <v>3.5</v>
      </c>
      <c r="E16" s="116" t="n">
        <v>1.5</v>
      </c>
    </row>
    <row r="17" customFormat="false" ht="15" hidden="false" customHeight="false" outlineLevel="0" collapsed="false">
      <c r="A17" s="117" t="s">
        <v>128</v>
      </c>
      <c r="B17" s="116" t="n">
        <v>1</v>
      </c>
      <c r="C17" s="116" t="n">
        <v>1</v>
      </c>
      <c r="D17" s="116" t="n">
        <v>1</v>
      </c>
      <c r="E17" s="116" t="n">
        <v>4</v>
      </c>
    </row>
    <row r="18" customFormat="false" ht="15" hidden="false" customHeight="false" outlineLevel="0" collapsed="false">
      <c r="A18" s="117" t="s">
        <v>129</v>
      </c>
      <c r="B18" s="116" t="n">
        <v>1</v>
      </c>
      <c r="C18" s="116" t="n">
        <v>1.5</v>
      </c>
      <c r="D18" s="116" t="n">
        <v>1</v>
      </c>
      <c r="E18" s="116" t="n">
        <v>2.5</v>
      </c>
    </row>
    <row r="19" customFormat="false" ht="15" hidden="false" customHeight="false" outlineLevel="0" collapsed="false">
      <c r="A19" s="117" t="s">
        <v>130</v>
      </c>
      <c r="B19" s="116" t="n">
        <v>1</v>
      </c>
      <c r="C19" s="116" t="n">
        <v>1</v>
      </c>
      <c r="D19" s="116" t="n">
        <v>1</v>
      </c>
      <c r="E19" s="116" t="n">
        <v>2.5</v>
      </c>
    </row>
    <row r="20" customFormat="false" ht="15" hidden="false" customHeight="false" outlineLevel="0" collapsed="false">
      <c r="A20" s="117" t="s">
        <v>131</v>
      </c>
      <c r="B20" s="116" t="n">
        <v>1</v>
      </c>
      <c r="C20" s="116" t="n">
        <v>1</v>
      </c>
      <c r="D20" s="116" t="n">
        <v>1</v>
      </c>
      <c r="E20" s="116" t="n">
        <v>1</v>
      </c>
    </row>
    <row r="21" customFormat="false" ht="15" hidden="false" customHeight="false" outlineLevel="0" collapsed="false">
      <c r="A21" s="115" t="s">
        <v>132</v>
      </c>
      <c r="B21" s="116" t="n">
        <v>4</v>
      </c>
      <c r="C21" s="116" t="n">
        <v>2</v>
      </c>
      <c r="D21" s="116" t="n">
        <v>1.5</v>
      </c>
      <c r="E21" s="116" t="n">
        <v>1.5</v>
      </c>
    </row>
    <row r="22" customFormat="false" ht="15" hidden="false" customHeight="false" outlineLevel="0" collapsed="false">
      <c r="A22" s="115" t="s">
        <v>133</v>
      </c>
      <c r="B22" s="116" t="n">
        <v>1</v>
      </c>
      <c r="C22" s="116" t="n">
        <v>1</v>
      </c>
      <c r="D22" s="116" t="n">
        <v>1.5</v>
      </c>
      <c r="E22" s="116" t="n">
        <v>1</v>
      </c>
    </row>
    <row r="23" customFormat="false" ht="15" hidden="false" customHeight="false" outlineLevel="0" collapsed="false">
      <c r="A23" s="115" t="s">
        <v>134</v>
      </c>
      <c r="B23" s="116" t="n">
        <v>1</v>
      </c>
      <c r="C23" s="116" t="n">
        <v>1</v>
      </c>
      <c r="D23" s="116" t="n">
        <v>1.5</v>
      </c>
      <c r="E23" s="116" t="n">
        <v>1</v>
      </c>
    </row>
    <row r="24" customFormat="false" ht="15" hidden="false" customHeight="false" outlineLevel="0" collapsed="false">
      <c r="A24" s="115" t="s">
        <v>135</v>
      </c>
      <c r="B24" s="116" t="n">
        <v>1</v>
      </c>
      <c r="C24" s="116" t="n">
        <v>1</v>
      </c>
      <c r="D24" s="116" t="n">
        <v>1</v>
      </c>
      <c r="E24" s="116" t="n">
        <v>3</v>
      </c>
    </row>
    <row r="25" customFormat="false" ht="15" hidden="false" customHeight="false" outlineLevel="0" collapsed="false">
      <c r="A25" s="115" t="s">
        <v>136</v>
      </c>
      <c r="B25" s="116" t="n">
        <v>4</v>
      </c>
      <c r="C25" s="116" t="n">
        <v>2</v>
      </c>
      <c r="D25" s="116" t="n">
        <v>1</v>
      </c>
      <c r="E25" s="116" t="n">
        <v>1.5</v>
      </c>
    </row>
    <row r="26" customFormat="false" ht="15" hidden="false" customHeight="false" outlineLevel="0" collapsed="false">
      <c r="A26" s="115" t="s">
        <v>137</v>
      </c>
      <c r="B26" s="116" t="n">
        <v>2</v>
      </c>
      <c r="C26" s="116" t="n">
        <v>2</v>
      </c>
      <c r="D26" s="116" t="n">
        <v>1</v>
      </c>
      <c r="E26" s="116" t="n">
        <v>1.5</v>
      </c>
    </row>
    <row r="27" customFormat="false" ht="15" hidden="false" customHeight="false" outlineLevel="0" collapsed="false">
      <c r="A27" s="115" t="s">
        <v>138</v>
      </c>
      <c r="B27" s="116" t="n">
        <v>1.5</v>
      </c>
      <c r="C27" s="116" t="n">
        <v>2</v>
      </c>
      <c r="D27" s="116" t="n">
        <v>1</v>
      </c>
      <c r="E27" s="116" t="n">
        <v>1.5</v>
      </c>
    </row>
    <row r="28" customFormat="false" ht="15" hidden="false" customHeight="false" outlineLevel="0" collapsed="false">
      <c r="A28" s="115" t="s">
        <v>139</v>
      </c>
      <c r="B28" s="116" t="n">
        <v>1</v>
      </c>
      <c r="C28" s="116" t="n">
        <v>3.5</v>
      </c>
      <c r="D28" s="116" t="n">
        <v>1</v>
      </c>
      <c r="E28" s="116" t="n">
        <v>1</v>
      </c>
    </row>
    <row r="29" customFormat="false" ht="15" hidden="false" customHeight="false" outlineLevel="0" collapsed="false">
      <c r="A29" s="115" t="s">
        <v>140</v>
      </c>
      <c r="B29" s="116" t="n">
        <v>1</v>
      </c>
      <c r="C29" s="116" t="n">
        <v>1</v>
      </c>
      <c r="D29" s="116" t="n">
        <v>1</v>
      </c>
      <c r="E29" s="116" t="n">
        <v>1</v>
      </c>
    </row>
    <row r="30" customFormat="false" ht="15" hidden="false" customHeight="false" outlineLevel="0" collapsed="false">
      <c r="A30" s="115" t="s">
        <v>141</v>
      </c>
      <c r="B30" s="116" t="n">
        <v>1</v>
      </c>
      <c r="C30" s="116" t="n">
        <v>1</v>
      </c>
      <c r="D30" s="116" t="n">
        <v>1</v>
      </c>
      <c r="E30" s="116" t="n">
        <v>1</v>
      </c>
    </row>
    <row r="31" customFormat="false" ht="15" hidden="false" customHeight="false" outlineLevel="0" collapsed="false">
      <c r="A31" s="115" t="s">
        <v>142</v>
      </c>
      <c r="B31" s="116" t="n">
        <v>3.5</v>
      </c>
      <c r="C31" s="116" t="n">
        <v>3</v>
      </c>
      <c r="D31" s="116" t="n">
        <v>1.5</v>
      </c>
      <c r="E31" s="116" t="n">
        <v>1</v>
      </c>
    </row>
    <row r="32" customFormat="false" ht="15" hidden="false" customHeight="false" outlineLevel="0" collapsed="false">
      <c r="A32" s="117" t="s">
        <v>143</v>
      </c>
      <c r="B32" s="116" t="n">
        <v>1</v>
      </c>
      <c r="C32" s="116" t="n">
        <v>1</v>
      </c>
      <c r="D32" s="116" t="n">
        <v>1</v>
      </c>
      <c r="E32" s="116" t="n">
        <v>1.5</v>
      </c>
    </row>
    <row r="33" customFormat="false" ht="15" hidden="false" customHeight="false" outlineLevel="0" collapsed="false">
      <c r="A33" s="117" t="s">
        <v>144</v>
      </c>
      <c r="B33" s="116" t="n">
        <v>1</v>
      </c>
      <c r="C33" s="116" t="n">
        <v>1</v>
      </c>
      <c r="D33" s="116" t="n">
        <v>1</v>
      </c>
      <c r="E33" s="116" t="n">
        <v>4</v>
      </c>
    </row>
    <row r="34" customFormat="false" ht="15" hidden="false" customHeight="false" outlineLevel="0" collapsed="false">
      <c r="A34" s="117" t="s">
        <v>145</v>
      </c>
      <c r="B34" s="116" t="n">
        <v>1</v>
      </c>
      <c r="C34" s="116" t="n">
        <v>1</v>
      </c>
      <c r="D34" s="116" t="n">
        <v>1</v>
      </c>
      <c r="E34" s="116" t="n">
        <v>3</v>
      </c>
    </row>
    <row r="35" customFormat="false" ht="15" hidden="false" customHeight="false" outlineLevel="0" collapsed="false">
      <c r="A35" s="117" t="s">
        <v>146</v>
      </c>
      <c r="B35" s="116" t="n">
        <v>1</v>
      </c>
      <c r="C35" s="116" t="n">
        <v>1</v>
      </c>
      <c r="D35" s="116" t="n">
        <v>1</v>
      </c>
      <c r="E35" s="116" t="n">
        <v>4</v>
      </c>
    </row>
    <row r="36" customFormat="false" ht="15" hidden="false" customHeight="false" outlineLevel="0" collapsed="false">
      <c r="A36" s="117" t="s">
        <v>147</v>
      </c>
      <c r="B36" s="116" t="n">
        <v>1</v>
      </c>
      <c r="C36" s="116" t="n">
        <v>1</v>
      </c>
      <c r="D36" s="116" t="n">
        <v>1</v>
      </c>
      <c r="E36" s="116" t="n">
        <v>2.5</v>
      </c>
    </row>
    <row r="37" customFormat="false" ht="15" hidden="false" customHeight="false" outlineLevel="0" collapsed="false">
      <c r="A37" s="117" t="s">
        <v>148</v>
      </c>
      <c r="B37" s="116" t="n">
        <v>1</v>
      </c>
      <c r="C37" s="116" t="n">
        <v>1</v>
      </c>
      <c r="D37" s="116" t="n">
        <v>1</v>
      </c>
      <c r="E37" s="116" t="n">
        <v>1.5</v>
      </c>
    </row>
    <row r="38" customFormat="false" ht="15" hidden="false" customHeight="false" outlineLevel="0" collapsed="false">
      <c r="A38" s="115" t="s">
        <v>149</v>
      </c>
      <c r="B38" s="116" t="n">
        <v>1</v>
      </c>
      <c r="C38" s="116" t="n">
        <v>1</v>
      </c>
      <c r="D38" s="116" t="n">
        <v>1</v>
      </c>
      <c r="E38" s="116" t="n">
        <v>1</v>
      </c>
    </row>
    <row r="39" customFormat="false" ht="15" hidden="false" customHeight="false" outlineLevel="0" collapsed="false">
      <c r="A39" s="115" t="s">
        <v>150</v>
      </c>
      <c r="B39" s="116" t="n">
        <v>1</v>
      </c>
      <c r="C39" s="116" t="n">
        <v>1</v>
      </c>
      <c r="D39" s="116" t="n">
        <v>1</v>
      </c>
      <c r="E39" s="116" t="n">
        <v>1</v>
      </c>
    </row>
    <row r="40" customFormat="false" ht="15" hidden="false" customHeight="false" outlineLevel="0" collapsed="false">
      <c r="A40" s="115" t="s">
        <v>151</v>
      </c>
      <c r="B40" s="116" t="n">
        <v>1</v>
      </c>
      <c r="C40" s="116" t="n">
        <v>1</v>
      </c>
      <c r="D40" s="116" t="n">
        <v>1</v>
      </c>
      <c r="E40" s="116" t="n">
        <v>1</v>
      </c>
    </row>
    <row r="41" customFormat="false" ht="15" hidden="false" customHeight="false" outlineLevel="0" collapsed="false">
      <c r="A41" s="115" t="s">
        <v>152</v>
      </c>
      <c r="B41" s="116" t="n">
        <v>1</v>
      </c>
      <c r="C41" s="116" t="n">
        <v>1</v>
      </c>
      <c r="D41" s="116" t="n">
        <v>1</v>
      </c>
      <c r="E41" s="116" t="n">
        <v>1</v>
      </c>
    </row>
  </sheetData>
  <conditionalFormatting sqref="B2:E41">
    <cfRule type="cellIs" priority="2" operator="greaterThanOrEqual" aboveAverage="0" equalAverage="0" bottom="0" percent="0" rank="0" text="" dxfId="2">
      <formula>3</formula>
    </cfRule>
    <cfRule type="cellIs" priority="3" operator="greaterThanOrEqual" aboveAverage="0" equalAverage="0" bottom="0" percent="0" rank="0" text="" dxfId="3">
      <formula>2</formula>
    </cfRule>
    <cfRule type="cellIs" priority="4" operator="greaterThanOrEqual" aboveAverage="0" equalAverage="0" bottom="0" percent="0" rank="0" text="" dxfId="4">
      <formula>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S7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G11" activeCellId="0" sqref="G11"/>
    </sheetView>
  </sheetViews>
  <sheetFormatPr defaultColWidth="8.859375" defaultRowHeight="15" zeroHeight="false" outlineLevelRow="0" outlineLevelCol="0"/>
  <cols>
    <col collapsed="false" customWidth="true" hidden="false" outlineLevel="0" max="1" min="1" style="0" width="12"/>
    <col collapsed="false" customWidth="true" hidden="false" outlineLevel="0" max="2" min="2" style="0" width="9.14"/>
    <col collapsed="false" customWidth="true" hidden="false" outlineLevel="0" max="3" min="3" style="0" width="9.42"/>
    <col collapsed="false" customWidth="true" hidden="false" outlineLevel="0" max="4" min="4" style="0" width="12"/>
    <col collapsed="false" customWidth="true" hidden="false" outlineLevel="0" max="5" min="5" style="0" width="10.85"/>
    <col collapsed="false" customWidth="true" hidden="false" outlineLevel="0" max="6" min="6" style="0" width="12.86"/>
    <col collapsed="false" customWidth="true" hidden="false" outlineLevel="0" max="7" min="7" style="0" width="20.57"/>
  </cols>
  <sheetData>
    <row r="1" s="80" customFormat="true" ht="34.5" hidden="false" customHeight="true" outlineLevel="0" collapsed="false">
      <c r="A1" s="79" t="s">
        <v>153</v>
      </c>
      <c r="B1" s="79"/>
      <c r="C1" s="79"/>
      <c r="D1" s="79"/>
      <c r="E1" s="79"/>
      <c r="F1" s="79"/>
      <c r="G1" s="79"/>
      <c r="H1" s="79"/>
      <c r="I1" s="79" t="s">
        <v>153</v>
      </c>
      <c r="J1" s="79"/>
      <c r="K1" s="79"/>
      <c r="L1" s="79"/>
      <c r="M1" s="79"/>
      <c r="N1" s="79"/>
      <c r="O1" s="79"/>
      <c r="P1" s="79"/>
      <c r="Q1" s="79"/>
      <c r="R1" s="79"/>
      <c r="S1" s="79"/>
    </row>
    <row r="2" customFormat="false" ht="10.5" hidden="false" customHeight="true" outlineLevel="0" collapsed="false"/>
    <row r="3" s="83" customFormat="true" ht="24.75" hidden="false" customHeight="true" outlineLevel="0" collapsed="false">
      <c r="A3" s="82" t="s">
        <v>154</v>
      </c>
      <c r="B3" s="82"/>
      <c r="C3" s="82"/>
      <c r="D3" s="82"/>
      <c r="E3" s="82"/>
      <c r="F3" s="82"/>
      <c r="G3" s="82"/>
      <c r="H3" s="82"/>
      <c r="I3" s="82" t="s">
        <v>154</v>
      </c>
      <c r="J3" s="82"/>
      <c r="K3" s="82"/>
      <c r="L3" s="82"/>
      <c r="M3" s="82"/>
      <c r="N3" s="82"/>
      <c r="O3" s="82"/>
      <c r="P3" s="82"/>
      <c r="Q3" s="82"/>
      <c r="R3" s="82"/>
      <c r="S3" s="82"/>
    </row>
    <row r="4" customFormat="false" ht="6.75" hidden="false" customHeight="true" outlineLevel="0" collapsed="false"/>
    <row r="5" s="120" customFormat="true" ht="26.25" hidden="false" customHeight="true" outlineLevel="0" collapsed="false">
      <c r="A5" s="118" t="s">
        <v>94</v>
      </c>
      <c r="B5" s="118"/>
      <c r="C5" s="118"/>
      <c r="D5" s="118"/>
      <c r="E5" s="119" t="s">
        <v>155</v>
      </c>
      <c r="F5" s="119" t="s">
        <v>96</v>
      </c>
      <c r="G5" s="35"/>
    </row>
    <row r="6" s="88" customFormat="true" ht="18.75" hidden="false" customHeight="true" outlineLevel="0" collapsed="false">
      <c r="A6" s="121" t="s">
        <v>156</v>
      </c>
      <c r="B6" s="121"/>
      <c r="C6" s="121"/>
      <c r="D6" s="121"/>
      <c r="E6" s="122" t="n">
        <v>2</v>
      </c>
      <c r="F6" s="123" t="n">
        <v>3</v>
      </c>
    </row>
    <row r="7" customFormat="false" ht="18.75" hidden="false" customHeight="true" outlineLevel="0" collapsed="false">
      <c r="A7" s="121" t="s">
        <v>157</v>
      </c>
      <c r="B7" s="121"/>
      <c r="C7" s="121"/>
      <c r="D7" s="121"/>
      <c r="E7" s="122" t="n">
        <v>4</v>
      </c>
      <c r="F7" s="123" t="n">
        <v>3</v>
      </c>
    </row>
    <row r="8" customFormat="false" ht="18.75" hidden="false" customHeight="true" outlineLevel="0" collapsed="false">
      <c r="A8" s="121" t="s">
        <v>158</v>
      </c>
      <c r="B8" s="121"/>
      <c r="C8" s="121"/>
      <c r="D8" s="121"/>
      <c r="E8" s="122" t="n">
        <v>2</v>
      </c>
      <c r="F8" s="123" t="n">
        <v>3</v>
      </c>
    </row>
    <row r="9" customFormat="false" ht="18.75" hidden="false" customHeight="true" outlineLevel="0" collapsed="false">
      <c r="A9" s="121" t="s">
        <v>159</v>
      </c>
      <c r="B9" s="121"/>
      <c r="C9" s="121"/>
      <c r="D9" s="121"/>
      <c r="E9" s="122" t="n">
        <v>2</v>
      </c>
      <c r="F9" s="123" t="n">
        <v>3</v>
      </c>
    </row>
    <row r="10" customFormat="false" ht="18.75" hidden="false" customHeight="true" outlineLevel="0" collapsed="false">
      <c r="A10" s="121" t="s">
        <v>160</v>
      </c>
      <c r="B10" s="121"/>
      <c r="C10" s="121"/>
      <c r="D10" s="121"/>
      <c r="E10" s="122" t="n">
        <v>2</v>
      </c>
      <c r="F10" s="123" t="n">
        <v>3</v>
      </c>
    </row>
    <row r="11" customFormat="false" ht="18.75" hidden="false" customHeight="true" outlineLevel="0" collapsed="false">
      <c r="A11" s="121" t="s">
        <v>161</v>
      </c>
      <c r="B11" s="121"/>
      <c r="C11" s="121"/>
      <c r="D11" s="121"/>
      <c r="E11" s="122" t="n">
        <v>4</v>
      </c>
      <c r="F11" s="123" t="n">
        <v>3</v>
      </c>
    </row>
    <row r="12" customFormat="false" ht="18.75" hidden="false" customHeight="true" outlineLevel="0" collapsed="false">
      <c r="A12" s="121" t="s">
        <v>162</v>
      </c>
      <c r="B12" s="121"/>
      <c r="C12" s="121"/>
      <c r="D12" s="121"/>
      <c r="E12" s="122" t="n">
        <v>4</v>
      </c>
      <c r="F12" s="123" t="n">
        <v>3</v>
      </c>
    </row>
    <row r="13" customFormat="false" ht="27" hidden="false" customHeight="true" outlineLevel="0" collapsed="false">
      <c r="A13" s="121" t="s">
        <v>163</v>
      </c>
      <c r="B13" s="121"/>
      <c r="C13" s="121"/>
      <c r="D13" s="121"/>
      <c r="E13" s="122" t="n">
        <v>5</v>
      </c>
      <c r="F13" s="123" t="n">
        <v>3</v>
      </c>
    </row>
    <row r="14" customFormat="false" ht="18.75" hidden="false" customHeight="true" outlineLevel="0" collapsed="false">
      <c r="A14" s="121" t="s">
        <v>164</v>
      </c>
      <c r="B14" s="121"/>
      <c r="C14" s="121"/>
      <c r="D14" s="121"/>
      <c r="E14" s="122" t="n">
        <v>1</v>
      </c>
      <c r="F14" s="123" t="n">
        <v>3</v>
      </c>
    </row>
    <row r="15" customFormat="false" ht="18.75" hidden="false" customHeight="true" outlineLevel="0" collapsed="false">
      <c r="A15" s="121" t="s">
        <v>165</v>
      </c>
      <c r="B15" s="121"/>
      <c r="C15" s="121"/>
      <c r="D15" s="121"/>
      <c r="E15" s="122" t="n">
        <v>2</v>
      </c>
      <c r="F15" s="123" t="n">
        <v>3</v>
      </c>
    </row>
    <row r="16" customFormat="false" ht="18.75" hidden="false" customHeight="true" outlineLevel="0" collapsed="false">
      <c r="A16" s="121" t="s">
        <v>166</v>
      </c>
      <c r="B16" s="121"/>
      <c r="C16" s="121"/>
      <c r="D16" s="121"/>
      <c r="E16" s="122" t="n">
        <v>4</v>
      </c>
      <c r="F16" s="123" t="n">
        <v>3</v>
      </c>
    </row>
    <row r="17" customFormat="false" ht="18.75" hidden="false" customHeight="true" outlineLevel="0" collapsed="false">
      <c r="A17" s="121" t="s">
        <v>167</v>
      </c>
      <c r="B17" s="121"/>
      <c r="C17" s="121"/>
      <c r="D17" s="121"/>
      <c r="E17" s="122" t="n">
        <v>4</v>
      </c>
      <c r="F17" s="123" t="n">
        <v>3</v>
      </c>
    </row>
    <row r="18" customFormat="false" ht="18.75" hidden="false" customHeight="true" outlineLevel="0" collapsed="false">
      <c r="A18" s="121" t="s">
        <v>168</v>
      </c>
      <c r="B18" s="121"/>
      <c r="C18" s="121"/>
      <c r="D18" s="121"/>
      <c r="E18" s="122" t="n">
        <v>3</v>
      </c>
      <c r="F18" s="124" t="n">
        <v>3</v>
      </c>
    </row>
    <row r="20" customFormat="false" ht="15" hidden="false" customHeight="false" outlineLevel="0" collapsed="false">
      <c r="E20" s="125" t="s">
        <v>101</v>
      </c>
      <c r="F20" s="98" t="n">
        <f aca="false">AVERAGE(E6:E18)</f>
        <v>3</v>
      </c>
    </row>
    <row r="21" s="95" customFormat="true" ht="15" hidden="false" customHeight="false" outlineLevel="0" collapsed="false">
      <c r="E21" s="125" t="s">
        <v>102</v>
      </c>
      <c r="F21" s="98" t="n">
        <f aca="false">STDEVP(E6:E18)</f>
        <v>1.1766968108291</v>
      </c>
    </row>
    <row r="22" s="95" customFormat="true" ht="15" hidden="false" customHeight="false" outlineLevel="0" collapsed="false">
      <c r="E22" s="125" t="s">
        <v>103</v>
      </c>
      <c r="F22" s="98" t="n">
        <f aca="false">AVERAGE(F6:F18)/F20</f>
        <v>1</v>
      </c>
    </row>
    <row r="23" s="95" customFormat="true" ht="15" hidden="false" customHeight="false" outlineLevel="0" collapsed="false"/>
    <row r="24" s="95" customFormat="true" ht="132" hidden="false" customHeight="true" outlineLevel="0" collapsed="false">
      <c r="E24" s="126"/>
      <c r="F24" s="127"/>
    </row>
    <row r="25" s="95" customFormat="true" ht="202.5" hidden="false" customHeight="true" outlineLevel="0" collapsed="false">
      <c r="E25" s="126"/>
      <c r="F25" s="127"/>
    </row>
    <row r="26" s="95" customFormat="true" ht="15" hidden="false" customHeight="false" outlineLevel="0" collapsed="false">
      <c r="E26" s="126"/>
      <c r="F26" s="127"/>
    </row>
    <row r="27" s="84" customFormat="true" ht="24.75" hidden="false" customHeight="true" outlineLevel="0" collapsed="false">
      <c r="A27" s="99" t="s">
        <v>104</v>
      </c>
      <c r="B27" s="99"/>
      <c r="C27" s="99"/>
      <c r="D27" s="99"/>
      <c r="E27" s="99"/>
      <c r="F27" s="99"/>
      <c r="G27" s="99"/>
      <c r="H27" s="99"/>
      <c r="I27" s="99" t="s">
        <v>104</v>
      </c>
      <c r="J27" s="99"/>
      <c r="K27" s="99"/>
      <c r="L27" s="99"/>
      <c r="M27" s="99"/>
      <c r="N27" s="99"/>
      <c r="O27" s="99"/>
      <c r="P27" s="99"/>
      <c r="Q27" s="99"/>
      <c r="R27" s="99"/>
      <c r="S27" s="99"/>
    </row>
    <row r="28" customFormat="false" ht="9" hidden="false" customHeight="true" outlineLevel="0" collapsed="false"/>
    <row r="29" s="84" customFormat="true" ht="27" hidden="false" customHeight="true" outlineLevel="0" collapsed="false">
      <c r="A29" s="128" t="s">
        <v>169</v>
      </c>
      <c r="B29" s="128"/>
      <c r="C29" s="128"/>
      <c r="D29" s="128"/>
    </row>
    <row r="30" s="84" customFormat="true" ht="44.25" hidden="false" customHeight="true" outlineLevel="0" collapsed="false">
      <c r="A30" s="104" t="s">
        <v>106</v>
      </c>
      <c r="B30" s="105" t="s">
        <v>107</v>
      </c>
      <c r="C30" s="105" t="s">
        <v>108</v>
      </c>
      <c r="D30" s="105" t="s">
        <v>109</v>
      </c>
    </row>
    <row r="31" customFormat="false" ht="15" hidden="false" customHeight="false" outlineLevel="0" collapsed="false">
      <c r="A31" s="129" t="s">
        <v>113</v>
      </c>
      <c r="B31" s="130" t="n">
        <f aca="false">DF2map!C$48</f>
        <v>102</v>
      </c>
      <c r="C31" s="131" t="n">
        <v>99</v>
      </c>
      <c r="D31" s="132" t="n">
        <f aca="false">IFERROR(MROUND(($F$22*100*B31/C31),5)-100,0)</f>
        <v>5</v>
      </c>
    </row>
    <row r="32" customFormat="false" ht="15" hidden="false" customHeight="false" outlineLevel="0" collapsed="false">
      <c r="A32" s="129" t="s">
        <v>114</v>
      </c>
      <c r="B32" s="130" t="n">
        <f aca="false">DF2map!D$48</f>
        <v>113</v>
      </c>
      <c r="C32" s="131" t="n">
        <v>114</v>
      </c>
      <c r="D32" s="132" t="n">
        <f aca="false">IFERROR(MROUND(($F$22*100*B32/C32),5)-100,0)</f>
        <v>0</v>
      </c>
      <c r="I32" s="36"/>
    </row>
    <row r="33" customFormat="false" ht="15" hidden="false" customHeight="false" outlineLevel="0" collapsed="false">
      <c r="A33" s="129" t="s">
        <v>115</v>
      </c>
      <c r="B33" s="130" t="n">
        <f aca="false">DF2map!E$48</f>
        <v>76</v>
      </c>
      <c r="C33" s="131" t="n">
        <v>63</v>
      </c>
      <c r="D33" s="132" t="n">
        <f aca="false">IFERROR(MROUND(($F$22*100*B33/C33),5)-100,0)</f>
        <v>20</v>
      </c>
    </row>
    <row r="34" customFormat="false" ht="15" hidden="false" customHeight="false" outlineLevel="0" collapsed="false">
      <c r="A34" s="129" t="s">
        <v>116</v>
      </c>
      <c r="B34" s="130" t="n">
        <f aca="false">DF2map!F$48</f>
        <v>127</v>
      </c>
      <c r="C34" s="131" t="n">
        <v>129</v>
      </c>
      <c r="D34" s="132" t="n">
        <f aca="false">IFERROR(MROUND(($F$22*100*B34/C34),5)-100,0)</f>
        <v>0</v>
      </c>
    </row>
    <row r="35" customFormat="false" ht="15" hidden="false" customHeight="false" outlineLevel="0" collapsed="false">
      <c r="A35" s="129" t="s">
        <v>117</v>
      </c>
      <c r="B35" s="130" t="n">
        <f aca="false">DF2map!G$48</f>
        <v>56</v>
      </c>
      <c r="C35" s="131" t="n">
        <v>63</v>
      </c>
      <c r="D35" s="132" t="n">
        <f aca="false">IFERROR(MROUND(($F$22*100*B35/C35),5)-100,0)</f>
        <v>-10</v>
      </c>
    </row>
    <row r="36" customFormat="false" ht="15" hidden="false" customHeight="false" outlineLevel="0" collapsed="false">
      <c r="A36" s="133" t="s">
        <v>118</v>
      </c>
      <c r="B36" s="130" t="n">
        <f aca="false">DF2map!H$48</f>
        <v>185</v>
      </c>
      <c r="C36" s="131" t="n">
        <v>180</v>
      </c>
      <c r="D36" s="132" t="n">
        <f aca="false">IFERROR(MROUND(($F$22*100*B36/C36),5)-100,0)</f>
        <v>5</v>
      </c>
    </row>
    <row r="37" customFormat="false" ht="15" hidden="false" customHeight="false" outlineLevel="0" collapsed="false">
      <c r="A37" s="133" t="s">
        <v>119</v>
      </c>
      <c r="B37" s="130" t="n">
        <f aca="false">DF2map!I$48</f>
        <v>127</v>
      </c>
      <c r="C37" s="131" t="n">
        <v>132</v>
      </c>
      <c r="D37" s="132" t="n">
        <f aca="false">IFERROR(MROUND(($F$22*100*B37/C37),5)-100,0)</f>
        <v>-5</v>
      </c>
    </row>
    <row r="38" customFormat="false" ht="15" hidden="false" customHeight="false" outlineLevel="0" collapsed="false">
      <c r="A38" s="133" t="s">
        <v>120</v>
      </c>
      <c r="B38" s="130" t="n">
        <f aca="false">DF2map!J$48</f>
        <v>137</v>
      </c>
      <c r="C38" s="131" t="n">
        <v>135</v>
      </c>
      <c r="D38" s="132" t="n">
        <v>-5</v>
      </c>
    </row>
    <row r="39" customFormat="false" ht="15" hidden="false" customHeight="false" outlineLevel="0" collapsed="false">
      <c r="A39" s="133" t="s">
        <v>121</v>
      </c>
      <c r="B39" s="130" t="n">
        <f aca="false">DF2map!K$48</f>
        <v>114</v>
      </c>
      <c r="C39" s="131" t="n">
        <v>120</v>
      </c>
      <c r="D39" s="132" t="n">
        <f aca="false">IFERROR(MROUND(($F$22*100*B39/C39),5)-100,0)</f>
        <v>-5</v>
      </c>
    </row>
    <row r="40" customFormat="false" ht="15" hidden="false" customHeight="false" outlineLevel="0" collapsed="false">
      <c r="A40" s="133" t="s">
        <v>122</v>
      </c>
      <c r="B40" s="130" t="n">
        <f aca="false">DF2map!L$48</f>
        <v>141</v>
      </c>
      <c r="C40" s="131" t="n">
        <v>141</v>
      </c>
      <c r="D40" s="132" t="n">
        <f aca="false">IFERROR(MROUND(($F$22*100*B40/C40),5)-100,0)</f>
        <v>0</v>
      </c>
    </row>
    <row r="41" customFormat="false" ht="15" hidden="false" customHeight="false" outlineLevel="0" collapsed="false">
      <c r="A41" s="133" t="s">
        <v>123</v>
      </c>
      <c r="B41" s="130" t="n">
        <f aca="false">DF2map!M$48</f>
        <v>105</v>
      </c>
      <c r="C41" s="131" t="n">
        <v>117</v>
      </c>
      <c r="D41" s="132" t="n">
        <f aca="false">IFERROR(MROUND(($F$22*100*B41/C41),5)-100,0)</f>
        <v>-10</v>
      </c>
    </row>
    <row r="42" customFormat="false" ht="15" hidden="false" customHeight="false" outlineLevel="0" collapsed="false">
      <c r="A42" s="133" t="s">
        <v>124</v>
      </c>
      <c r="B42" s="130" t="n">
        <f aca="false">DF2map!N$48</f>
        <v>100</v>
      </c>
      <c r="C42" s="131" t="n">
        <v>108</v>
      </c>
      <c r="D42" s="132" t="n">
        <f aca="false">IFERROR(MROUND(($F$22*100*B42/C42),5)-100,0)</f>
        <v>-5</v>
      </c>
    </row>
    <row r="43" customFormat="false" ht="15" hidden="false" customHeight="false" outlineLevel="0" collapsed="false">
      <c r="A43" s="133" t="s">
        <v>125</v>
      </c>
      <c r="B43" s="130" t="n">
        <f aca="false">DF2map!O$48</f>
        <v>181</v>
      </c>
      <c r="C43" s="131" t="n">
        <v>189</v>
      </c>
      <c r="D43" s="132" t="n">
        <f aca="false">IFERROR(MROUND(($F$22*100*B43/C43),5)-100,0)</f>
        <v>-5</v>
      </c>
    </row>
    <row r="44" customFormat="false" ht="15" hidden="false" customHeight="false" outlineLevel="0" collapsed="false">
      <c r="A44" s="133" t="s">
        <v>126</v>
      </c>
      <c r="B44" s="130" t="n">
        <f aca="false">DF2map!P$48</f>
        <v>64</v>
      </c>
      <c r="C44" s="131" t="n">
        <v>63</v>
      </c>
      <c r="D44" s="132" t="n">
        <f aca="false">IFERROR(MROUND(($F$22*100*B44/C44),5)-100,0)</f>
        <v>0</v>
      </c>
    </row>
    <row r="45" customFormat="false" ht="15" hidden="false" customHeight="false" outlineLevel="0" collapsed="false">
      <c r="A45" s="133" t="s">
        <v>127</v>
      </c>
      <c r="B45" s="130" t="n">
        <f aca="false">DF2map!Q$48</f>
        <v>79</v>
      </c>
      <c r="C45" s="131" t="n">
        <v>78</v>
      </c>
      <c r="D45" s="132" t="n">
        <f aca="false">IFERROR(MROUND(($F$22*100*B45/C45),5)-100,0)</f>
        <v>0</v>
      </c>
    </row>
    <row r="46" customFormat="false" ht="15" hidden="false" customHeight="false" outlineLevel="0" collapsed="false">
      <c r="A46" s="133" t="s">
        <v>128</v>
      </c>
      <c r="B46" s="130" t="n">
        <f aca="false">DF2map!R$48</f>
        <v>123</v>
      </c>
      <c r="C46" s="131" t="n">
        <v>132</v>
      </c>
      <c r="D46" s="132" t="n">
        <f aca="false">IFERROR(MROUND(($F$22*100*B46/C46),5)-100,0)</f>
        <v>-5</v>
      </c>
    </row>
    <row r="47" customFormat="false" ht="15" hidden="false" customHeight="false" outlineLevel="0" collapsed="false">
      <c r="A47" s="133" t="s">
        <v>129</v>
      </c>
      <c r="B47" s="130" t="n">
        <f aca="false">DF2map!S$48</f>
        <v>48</v>
      </c>
      <c r="C47" s="131" t="n">
        <v>36</v>
      </c>
      <c r="D47" s="132" t="n">
        <f aca="false">IFERROR(MROUND(($F$22*100*B47/C47),5)-100,0)</f>
        <v>35</v>
      </c>
    </row>
    <row r="48" customFormat="false" ht="15" hidden="false" customHeight="false" outlineLevel="0" collapsed="false">
      <c r="A48" s="133" t="s">
        <v>130</v>
      </c>
      <c r="B48" s="130" t="n">
        <f aca="false">DF2map!T$48</f>
        <v>48</v>
      </c>
      <c r="C48" s="131" t="n">
        <v>39</v>
      </c>
      <c r="D48" s="132" t="n">
        <f aca="false">IFERROR(MROUND(($F$22*100*B48/C48),5)-100,0)</f>
        <v>25</v>
      </c>
    </row>
    <row r="49" customFormat="false" ht="15" hidden="false" customHeight="false" outlineLevel="0" collapsed="false">
      <c r="A49" s="133" t="s">
        <v>131</v>
      </c>
      <c r="B49" s="130" t="n">
        <f aca="false">DF2map!U$48</f>
        <v>76</v>
      </c>
      <c r="C49" s="131" t="n">
        <v>78</v>
      </c>
      <c r="D49" s="132" t="n">
        <f aca="false">IFERROR(MROUND(($F$22*100*B49/C49),5)-100,0)</f>
        <v>-5</v>
      </c>
    </row>
    <row r="50" customFormat="false" ht="15" hidden="false" customHeight="false" outlineLevel="0" collapsed="false">
      <c r="A50" s="129" t="s">
        <v>170</v>
      </c>
      <c r="B50" s="130" t="n">
        <f aca="false">DF2map!V$48</f>
        <v>126</v>
      </c>
      <c r="C50" s="131" t="n">
        <v>129</v>
      </c>
      <c r="D50" s="132" t="n">
        <v>-5</v>
      </c>
    </row>
    <row r="51" customFormat="false" ht="15" hidden="false" customHeight="false" outlineLevel="0" collapsed="false">
      <c r="A51" s="129" t="s">
        <v>133</v>
      </c>
      <c r="B51" s="130" t="n">
        <f aca="false">DF2map!W$48</f>
        <v>170</v>
      </c>
      <c r="C51" s="131" t="n">
        <v>174</v>
      </c>
      <c r="D51" s="132" t="n">
        <f aca="false">IFERROR(MROUND(($F$22*100*B51/C51),5)-100,0)</f>
        <v>0</v>
      </c>
    </row>
    <row r="52" customFormat="false" ht="15" hidden="false" customHeight="false" outlineLevel="0" collapsed="false">
      <c r="A52" s="129" t="s">
        <v>134</v>
      </c>
      <c r="B52" s="130" t="n">
        <f aca="false">DF2map!X$48</f>
        <v>164</v>
      </c>
      <c r="C52" s="131" t="n">
        <v>165</v>
      </c>
      <c r="D52" s="132" t="n">
        <f aca="false">IFERROR(MROUND(($F$22*100*B52/C52),5)-100,0)</f>
        <v>0</v>
      </c>
    </row>
    <row r="53" customFormat="false" ht="15" hidden="false" customHeight="false" outlineLevel="0" collapsed="false">
      <c r="A53" s="129" t="s">
        <v>135</v>
      </c>
      <c r="B53" s="130" t="n">
        <f aca="false">DF2map!Y$48</f>
        <v>73</v>
      </c>
      <c r="C53" s="131" t="n">
        <v>69</v>
      </c>
      <c r="D53" s="132" t="n">
        <f aca="false">IFERROR(MROUND(($F$22*100*B53/C53),5)-100,0)</f>
        <v>5</v>
      </c>
    </row>
    <row r="54" customFormat="false" ht="15" hidden="false" customHeight="false" outlineLevel="0" collapsed="false">
      <c r="A54" s="129" t="s">
        <v>136</v>
      </c>
      <c r="B54" s="130" t="n">
        <f aca="false">DF2map!Z$48</f>
        <v>177</v>
      </c>
      <c r="C54" s="131" t="n">
        <v>183</v>
      </c>
      <c r="D54" s="132" t="n">
        <v>-10</v>
      </c>
    </row>
    <row r="55" customFormat="false" ht="15" hidden="false" customHeight="false" outlineLevel="0" collapsed="false">
      <c r="A55" s="129" t="s">
        <v>137</v>
      </c>
      <c r="B55" s="130" t="n">
        <f aca="false">DF2map!AA$48</f>
        <v>93</v>
      </c>
      <c r="C55" s="131" t="n">
        <v>90</v>
      </c>
      <c r="D55" s="132" t="n">
        <f aca="false">IFERROR(MROUND(($F$22*100*B55/C55),5)-100,0)</f>
        <v>5</v>
      </c>
    </row>
    <row r="56" customFormat="false" ht="15" hidden="false" customHeight="false" outlineLevel="0" collapsed="false">
      <c r="A56" s="129" t="s">
        <v>138</v>
      </c>
      <c r="B56" s="130" t="n">
        <f aca="false">DF2map!AB$48</f>
        <v>71</v>
      </c>
      <c r="C56" s="131" t="n">
        <v>69</v>
      </c>
      <c r="D56" s="132" t="n">
        <f aca="false">IFERROR(MROUND(($F$22*100*B56/C56),5)-100,0)</f>
        <v>5</v>
      </c>
    </row>
    <row r="57" customFormat="false" ht="15" hidden="false" customHeight="false" outlineLevel="0" collapsed="false">
      <c r="A57" s="129" t="s">
        <v>139</v>
      </c>
      <c r="B57" s="130" t="n">
        <f aca="false">DF2map!AC$48</f>
        <v>125</v>
      </c>
      <c r="C57" s="131" t="n">
        <v>135</v>
      </c>
      <c r="D57" s="132" t="n">
        <v>-5</v>
      </c>
    </row>
    <row r="58" customFormat="false" ht="15" hidden="false" customHeight="false" outlineLevel="0" collapsed="false">
      <c r="A58" s="129" t="s">
        <v>140</v>
      </c>
      <c r="B58" s="130" t="n">
        <f aca="false">DF2map!AD$48</f>
        <v>41</v>
      </c>
      <c r="C58" s="131" t="n">
        <v>51</v>
      </c>
      <c r="D58" s="132" t="n">
        <f aca="false">IFERROR(MROUND(($F$22*100*B58/C58),5)-100,0)</f>
        <v>-20</v>
      </c>
    </row>
    <row r="59" customFormat="false" ht="15" hidden="false" customHeight="false" outlineLevel="0" collapsed="false">
      <c r="A59" s="129" t="s">
        <v>141</v>
      </c>
      <c r="B59" s="130" t="n">
        <f aca="false">DF2map!AE$48</f>
        <v>19</v>
      </c>
      <c r="C59" s="131" t="n">
        <v>18</v>
      </c>
      <c r="D59" s="132" t="n">
        <f aca="false">IFERROR(MROUND(($F$22*100*B59/C59),5)-100,0)</f>
        <v>5</v>
      </c>
    </row>
    <row r="60" customFormat="false" ht="15" hidden="false" customHeight="false" outlineLevel="0" collapsed="false">
      <c r="A60" s="129" t="s">
        <v>142</v>
      </c>
      <c r="B60" s="130" t="n">
        <f aca="false">DF2map!AF$48</f>
        <v>137</v>
      </c>
      <c r="C60" s="131" t="n">
        <v>138</v>
      </c>
      <c r="D60" s="132" t="n">
        <f aca="false">IFERROR(MROUND(($F$22*100*B60/C60),5)-100,0)</f>
        <v>0</v>
      </c>
    </row>
    <row r="61" customFormat="false" ht="15" hidden="false" customHeight="false" outlineLevel="0" collapsed="false">
      <c r="A61" s="133" t="s">
        <v>143</v>
      </c>
      <c r="B61" s="130" t="n">
        <f aca="false">DF2map!AG$48</f>
        <v>64</v>
      </c>
      <c r="C61" s="131" t="n">
        <v>63</v>
      </c>
      <c r="D61" s="132" t="n">
        <f aca="false">IFERROR(MROUND(($F$22*100*B61/C61),5)-100,0)</f>
        <v>0</v>
      </c>
    </row>
    <row r="62" customFormat="false" ht="15" hidden="false" customHeight="false" outlineLevel="0" collapsed="false">
      <c r="A62" s="133" t="s">
        <v>144</v>
      </c>
      <c r="B62" s="130" t="n">
        <f aca="false">DF2map!AH$48</f>
        <v>62</v>
      </c>
      <c r="C62" s="131" t="n">
        <v>54</v>
      </c>
      <c r="D62" s="132" t="n">
        <f aca="false">IFERROR(MROUND(($F$22*100*B62/C62),5)-100,0)</f>
        <v>15</v>
      </c>
    </row>
    <row r="63" customFormat="false" ht="15" hidden="false" customHeight="false" outlineLevel="0" collapsed="false">
      <c r="A63" s="133" t="s">
        <v>145</v>
      </c>
      <c r="B63" s="130" t="n">
        <f aca="false">DF2map!AI$48</f>
        <v>62</v>
      </c>
      <c r="C63" s="131" t="n">
        <v>54</v>
      </c>
      <c r="D63" s="132" t="n">
        <v>0</v>
      </c>
    </row>
    <row r="64" customFormat="false" ht="15" hidden="false" customHeight="false" outlineLevel="0" collapsed="false">
      <c r="A64" s="133" t="s">
        <v>146</v>
      </c>
      <c r="B64" s="130" t="n">
        <f aca="false">DF2map!AJ$48</f>
        <v>62</v>
      </c>
      <c r="C64" s="131" t="n">
        <v>54</v>
      </c>
      <c r="D64" s="132" t="n">
        <f aca="false">IFERROR(MROUND(($F$22*100*B64/C64),5)-100,0)</f>
        <v>15</v>
      </c>
    </row>
    <row r="65" customFormat="false" ht="15" hidden="false" customHeight="false" outlineLevel="0" collapsed="false">
      <c r="A65" s="133" t="s">
        <v>147</v>
      </c>
      <c r="B65" s="130" t="n">
        <f aca="false">DF2map!AK$48</f>
        <v>95</v>
      </c>
      <c r="C65" s="131" t="n">
        <v>81</v>
      </c>
      <c r="D65" s="132" t="n">
        <f aca="false">IFERROR(MROUND(($F$22*100*B65/C65),5)-100,0)</f>
        <v>15</v>
      </c>
    </row>
    <row r="66" customFormat="false" ht="15" hidden="false" customHeight="false" outlineLevel="0" collapsed="false">
      <c r="A66" s="133" t="s">
        <v>148</v>
      </c>
      <c r="B66" s="130" t="n">
        <f aca="false">DF2map!AL$48</f>
        <v>111</v>
      </c>
      <c r="C66" s="131" t="n">
        <v>105</v>
      </c>
      <c r="D66" s="132" t="n">
        <f aca="false">IFERROR(MROUND(($F$22*100*B66/C66),5)-100,0)</f>
        <v>5</v>
      </c>
    </row>
    <row r="67" customFormat="false" ht="15" hidden="false" customHeight="false" outlineLevel="0" collapsed="false">
      <c r="A67" s="129" t="s">
        <v>149</v>
      </c>
      <c r="B67" s="130" t="n">
        <f aca="false">DF2map!AM$48</f>
        <v>133</v>
      </c>
      <c r="C67" s="131" t="n">
        <v>135</v>
      </c>
      <c r="D67" s="132" t="n">
        <f aca="false">IFERROR(MROUND(($F$22*100*B67/C67),5)-100,0)</f>
        <v>0</v>
      </c>
    </row>
    <row r="68" customFormat="false" ht="15" hidden="false" customHeight="false" outlineLevel="0" collapsed="false">
      <c r="A68" s="129" t="s">
        <v>150</v>
      </c>
      <c r="B68" s="130" t="n">
        <f aca="false">DF2map!AN$48</f>
        <v>137</v>
      </c>
      <c r="C68" s="131" t="n">
        <v>135</v>
      </c>
      <c r="D68" s="132" t="n">
        <f aca="false">IFERROR(MROUND(($F$22*100*B68/C68),5)-100,0)</f>
        <v>0</v>
      </c>
    </row>
    <row r="69" customFormat="false" ht="15" hidden="false" customHeight="false" outlineLevel="0" collapsed="false">
      <c r="A69" s="129" t="s">
        <v>151</v>
      </c>
      <c r="B69" s="130" t="n">
        <f aca="false">DF2map!AO$48</f>
        <v>40</v>
      </c>
      <c r="C69" s="131" t="n">
        <v>39</v>
      </c>
      <c r="D69" s="132" t="n">
        <v>5</v>
      </c>
    </row>
    <row r="70" customFormat="false" ht="15" hidden="false" customHeight="false" outlineLevel="0" collapsed="false">
      <c r="A70" s="129" t="s">
        <v>152</v>
      </c>
      <c r="B70" s="130" t="n">
        <f aca="false">DF2map!AP$48</f>
        <v>114</v>
      </c>
      <c r="C70" s="134" t="n">
        <v>111</v>
      </c>
      <c r="D70" s="132" t="n">
        <f aca="false">IFERROR(MROUND(($F$22*100*B70/C70),5)-100,0)</f>
        <v>5</v>
      </c>
    </row>
  </sheetData>
  <mergeCells count="21">
    <mergeCell ref="A1:H1"/>
    <mergeCell ref="I1:S1"/>
    <mergeCell ref="A3:H3"/>
    <mergeCell ref="I3:S3"/>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27:H27"/>
    <mergeCell ref="I27:S27"/>
    <mergeCell ref="A29:D29"/>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5"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AP5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E57" activeCellId="0" sqref="E57"/>
    </sheetView>
  </sheetViews>
  <sheetFormatPr defaultColWidth="8.859375" defaultRowHeight="15" zeroHeight="false" outlineLevelRow="0" outlineLevelCol="0"/>
  <cols>
    <col collapsed="false" customWidth="true" hidden="false" outlineLevel="0" max="2" min="2" style="0" width="26"/>
    <col collapsed="false" customWidth="true" hidden="false" outlineLevel="0" max="15" min="3" style="0" width="16.14"/>
  </cols>
  <sheetData>
    <row r="2" customFormat="false" ht="33.75" hidden="false" customHeight="true" outlineLevel="0" collapsed="false">
      <c r="C2" s="135" t="s">
        <v>171</v>
      </c>
      <c r="D2" s="135" t="s">
        <v>172</v>
      </c>
      <c r="E2" s="135" t="s">
        <v>173</v>
      </c>
      <c r="F2" s="135" t="s">
        <v>174</v>
      </c>
      <c r="G2" s="135" t="s">
        <v>175</v>
      </c>
      <c r="H2" s="135" t="s">
        <v>176</v>
      </c>
      <c r="I2" s="135" t="s">
        <v>177</v>
      </c>
      <c r="J2" s="135" t="s">
        <v>178</v>
      </c>
      <c r="K2" s="135" t="s">
        <v>179</v>
      </c>
      <c r="L2" s="135" t="s">
        <v>180</v>
      </c>
      <c r="M2" s="135" t="s">
        <v>181</v>
      </c>
      <c r="N2" s="135" t="s">
        <v>182</v>
      </c>
      <c r="O2" s="135" t="s">
        <v>183</v>
      </c>
    </row>
    <row r="3" customFormat="false" ht="15" hidden="false" customHeight="false" outlineLevel="0" collapsed="false">
      <c r="C3" s="136" t="n">
        <f aca="false">DF2!$E6</f>
        <v>2</v>
      </c>
      <c r="D3" s="136" t="n">
        <f aca="false">DF2!$E7</f>
        <v>4</v>
      </c>
      <c r="E3" s="136" t="n">
        <f aca="false">DF2!$E8</f>
        <v>2</v>
      </c>
      <c r="F3" s="136" t="n">
        <f aca="false">DF2!$E9</f>
        <v>2</v>
      </c>
      <c r="G3" s="136" t="n">
        <f aca="false">DF2!$E10</f>
        <v>2</v>
      </c>
      <c r="H3" s="136" t="n">
        <f aca="false">DF2!$E11</f>
        <v>4</v>
      </c>
      <c r="I3" s="136" t="n">
        <f aca="false">DF2!$E12</f>
        <v>4</v>
      </c>
      <c r="J3" s="136" t="n">
        <f aca="false">DF2!$E13</f>
        <v>5</v>
      </c>
      <c r="K3" s="136" t="n">
        <f aca="false">DF2!$E14</f>
        <v>1</v>
      </c>
      <c r="L3" s="136" t="n">
        <f aca="false">DF2!$E15</f>
        <v>2</v>
      </c>
      <c r="M3" s="136" t="n">
        <f aca="false">DF2!$E16</f>
        <v>4</v>
      </c>
      <c r="N3" s="136" t="n">
        <f aca="false">DF2!$E17</f>
        <v>4</v>
      </c>
      <c r="O3" s="136" t="n">
        <f aca="false">DF2!$E18</f>
        <v>3</v>
      </c>
    </row>
    <row r="7" customFormat="false" ht="15" hidden="false" customHeight="false" outlineLevel="0" collapsed="false">
      <c r="A7" s="137" t="s">
        <v>184</v>
      </c>
      <c r="B7" s="137"/>
      <c r="C7" s="138" t="s">
        <v>185</v>
      </c>
      <c r="D7" s="138" t="s">
        <v>186</v>
      </c>
      <c r="E7" s="138" t="s">
        <v>187</v>
      </c>
      <c r="F7" s="138" t="s">
        <v>188</v>
      </c>
      <c r="G7" s="139" t="s">
        <v>189</v>
      </c>
      <c r="H7" s="138" t="s">
        <v>190</v>
      </c>
      <c r="I7" s="138" t="s">
        <v>191</v>
      </c>
      <c r="J7" s="138" t="s">
        <v>192</v>
      </c>
      <c r="K7" s="138" t="s">
        <v>193</v>
      </c>
      <c r="L7" s="138" t="s">
        <v>194</v>
      </c>
      <c r="M7" s="138" t="s">
        <v>195</v>
      </c>
      <c r="N7" s="138" t="s">
        <v>196</v>
      </c>
      <c r="O7" s="138" t="s">
        <v>197</v>
      </c>
    </row>
    <row r="8" customFormat="false" ht="84" hidden="false" customHeight="true" outlineLevel="0" collapsed="false">
      <c r="A8" s="137"/>
      <c r="B8" s="137"/>
      <c r="C8" s="140" t="s">
        <v>198</v>
      </c>
      <c r="D8" s="140" t="s">
        <v>199</v>
      </c>
      <c r="E8" s="140" t="s">
        <v>200</v>
      </c>
      <c r="F8" s="140" t="s">
        <v>201</v>
      </c>
      <c r="G8" s="140" t="s">
        <v>202</v>
      </c>
      <c r="H8" s="140" t="s">
        <v>203</v>
      </c>
      <c r="I8" s="140" t="s">
        <v>204</v>
      </c>
      <c r="J8" s="140" t="s">
        <v>205</v>
      </c>
      <c r="K8" s="140" t="s">
        <v>206</v>
      </c>
      <c r="L8" s="140" t="s">
        <v>207</v>
      </c>
      <c r="M8" s="140" t="s">
        <v>208</v>
      </c>
      <c r="N8" s="140" t="s">
        <v>209</v>
      </c>
      <c r="O8" s="140" t="s">
        <v>210</v>
      </c>
    </row>
    <row r="9" customFormat="false" ht="36" hidden="false" customHeight="true" outlineLevel="0" collapsed="false">
      <c r="A9" s="141" t="s">
        <v>211</v>
      </c>
      <c r="B9" s="141" t="s">
        <v>212</v>
      </c>
      <c r="C9" s="142" t="n">
        <v>0</v>
      </c>
      <c r="D9" s="142" t="n">
        <v>0</v>
      </c>
      <c r="E9" s="142" t="n">
        <v>1</v>
      </c>
      <c r="F9" s="142" t="n">
        <v>0</v>
      </c>
      <c r="G9" s="142" t="n">
        <v>2</v>
      </c>
      <c r="H9" s="142" t="n">
        <v>2</v>
      </c>
      <c r="I9" s="142" t="n">
        <v>0</v>
      </c>
      <c r="J9" s="142" t="n">
        <v>2</v>
      </c>
      <c r="K9" s="142" t="n">
        <v>2</v>
      </c>
      <c r="L9" s="142" t="n">
        <v>0</v>
      </c>
      <c r="M9" s="142" t="n">
        <v>0</v>
      </c>
      <c r="N9" s="142" t="n">
        <v>0</v>
      </c>
      <c r="O9" s="142" t="n">
        <v>2</v>
      </c>
    </row>
    <row r="10" customFormat="false" ht="15" hidden="false" customHeight="false" outlineLevel="0" collapsed="false">
      <c r="A10" s="141" t="s">
        <v>213</v>
      </c>
      <c r="B10" s="141" t="s">
        <v>172</v>
      </c>
      <c r="C10" s="142" t="n">
        <v>1</v>
      </c>
      <c r="D10" s="142" t="n">
        <v>2</v>
      </c>
      <c r="E10" s="142" t="n">
        <v>0</v>
      </c>
      <c r="F10" s="142" t="n">
        <v>0</v>
      </c>
      <c r="G10" s="142" t="n">
        <v>0</v>
      </c>
      <c r="H10" s="142" t="n">
        <v>0</v>
      </c>
      <c r="I10" s="142" t="n">
        <v>1</v>
      </c>
      <c r="J10" s="142" t="n">
        <v>0</v>
      </c>
      <c r="K10" s="142" t="n">
        <v>0</v>
      </c>
      <c r="L10" s="142" t="n">
        <v>0</v>
      </c>
      <c r="M10" s="142" t="n">
        <v>1</v>
      </c>
      <c r="N10" s="142" t="n">
        <v>0</v>
      </c>
      <c r="O10" s="142" t="n">
        <v>0</v>
      </c>
    </row>
    <row r="11" customFormat="false" ht="24" hidden="false" customHeight="true" outlineLevel="0" collapsed="false">
      <c r="A11" s="141" t="s">
        <v>214</v>
      </c>
      <c r="B11" s="141" t="s">
        <v>173</v>
      </c>
      <c r="C11" s="142" t="n">
        <v>2</v>
      </c>
      <c r="D11" s="142" t="n">
        <v>0</v>
      </c>
      <c r="E11" s="142" t="n">
        <v>0</v>
      </c>
      <c r="F11" s="142" t="n">
        <v>0</v>
      </c>
      <c r="G11" s="142" t="n">
        <v>0</v>
      </c>
      <c r="H11" s="142" t="n">
        <v>0</v>
      </c>
      <c r="I11" s="142" t="n">
        <v>0</v>
      </c>
      <c r="J11" s="142" t="n">
        <v>0</v>
      </c>
      <c r="K11" s="142" t="n">
        <v>0</v>
      </c>
      <c r="L11" s="142" t="n">
        <v>0</v>
      </c>
      <c r="M11" s="142" t="n">
        <v>2</v>
      </c>
      <c r="N11" s="142" t="n">
        <v>0</v>
      </c>
      <c r="O11" s="142" t="n">
        <v>0</v>
      </c>
    </row>
    <row r="12" customFormat="false" ht="24" hidden="false" customHeight="true" outlineLevel="0" collapsed="false">
      <c r="A12" s="141" t="s">
        <v>215</v>
      </c>
      <c r="B12" s="141" t="s">
        <v>174</v>
      </c>
      <c r="C12" s="142" t="n">
        <v>0</v>
      </c>
      <c r="D12" s="142" t="n">
        <v>0</v>
      </c>
      <c r="E12" s="142" t="n">
        <v>0</v>
      </c>
      <c r="F12" s="142" t="n">
        <v>2</v>
      </c>
      <c r="G12" s="142" t="n">
        <v>0</v>
      </c>
      <c r="H12" s="142" t="n">
        <v>0</v>
      </c>
      <c r="I12" s="142" t="n">
        <v>0</v>
      </c>
      <c r="J12" s="142" t="n">
        <v>0</v>
      </c>
      <c r="K12" s="142" t="n">
        <v>0</v>
      </c>
      <c r="L12" s="142" t="n">
        <v>2</v>
      </c>
      <c r="M12" s="142" t="n">
        <v>0</v>
      </c>
      <c r="N12" s="142" t="n">
        <v>0</v>
      </c>
      <c r="O12" s="142" t="n">
        <v>0</v>
      </c>
    </row>
    <row r="13" customFormat="false" ht="24" hidden="false" customHeight="true" outlineLevel="0" collapsed="false">
      <c r="A13" s="141" t="s">
        <v>216</v>
      </c>
      <c r="B13" s="141" t="s">
        <v>175</v>
      </c>
      <c r="C13" s="142" t="n">
        <v>0</v>
      </c>
      <c r="D13" s="142" t="n">
        <v>0</v>
      </c>
      <c r="E13" s="142" t="n">
        <v>1</v>
      </c>
      <c r="F13" s="142" t="n">
        <v>0</v>
      </c>
      <c r="G13" s="142" t="n">
        <v>1</v>
      </c>
      <c r="H13" s="142" t="n">
        <v>1</v>
      </c>
      <c r="I13" s="142" t="n">
        <v>0</v>
      </c>
      <c r="J13" s="142" t="n">
        <v>2</v>
      </c>
      <c r="K13" s="142" t="n">
        <v>1</v>
      </c>
      <c r="L13" s="142" t="n">
        <v>0</v>
      </c>
      <c r="M13" s="142" t="n">
        <v>0</v>
      </c>
      <c r="N13" s="142" t="n">
        <v>1</v>
      </c>
      <c r="O13" s="142" t="n">
        <v>0</v>
      </c>
    </row>
    <row r="14" customFormat="false" ht="24" hidden="false" customHeight="true" outlineLevel="0" collapsed="false">
      <c r="A14" s="141" t="s">
        <v>217</v>
      </c>
      <c r="B14" s="141" t="s">
        <v>176</v>
      </c>
      <c r="C14" s="142" t="n">
        <v>0</v>
      </c>
      <c r="D14" s="142" t="n">
        <v>1</v>
      </c>
      <c r="E14" s="142" t="n">
        <v>0</v>
      </c>
      <c r="F14" s="142" t="n">
        <v>0</v>
      </c>
      <c r="G14" s="142" t="n">
        <v>1</v>
      </c>
      <c r="H14" s="142" t="n">
        <v>0</v>
      </c>
      <c r="I14" s="142" t="n">
        <v>2</v>
      </c>
      <c r="J14" s="142" t="n">
        <v>0</v>
      </c>
      <c r="K14" s="142" t="n">
        <v>0</v>
      </c>
      <c r="L14" s="142" t="n">
        <v>0</v>
      </c>
      <c r="M14" s="142" t="n">
        <v>0</v>
      </c>
      <c r="N14" s="142" t="n">
        <v>0</v>
      </c>
      <c r="O14" s="142" t="n">
        <v>0</v>
      </c>
    </row>
    <row r="15" customFormat="false" ht="24" hidden="false" customHeight="true" outlineLevel="0" collapsed="false">
      <c r="A15" s="141" t="s">
        <v>218</v>
      </c>
      <c r="B15" s="141" t="s">
        <v>219</v>
      </c>
      <c r="C15" s="142" t="n">
        <v>0</v>
      </c>
      <c r="D15" s="142" t="n">
        <v>0</v>
      </c>
      <c r="E15" s="142" t="n">
        <v>0</v>
      </c>
      <c r="F15" s="142" t="n">
        <v>2</v>
      </c>
      <c r="G15" s="142" t="n">
        <v>0</v>
      </c>
      <c r="H15" s="142" t="n">
        <v>0</v>
      </c>
      <c r="I15" s="142" t="n">
        <v>0</v>
      </c>
      <c r="J15" s="142" t="n">
        <v>0</v>
      </c>
      <c r="K15" s="142" t="n">
        <v>0</v>
      </c>
      <c r="L15" s="142" t="n">
        <v>2</v>
      </c>
      <c r="M15" s="142" t="n">
        <v>0</v>
      </c>
      <c r="N15" s="142" t="n">
        <v>0</v>
      </c>
      <c r="O15" s="142" t="n">
        <v>0</v>
      </c>
    </row>
    <row r="16" customFormat="false" ht="24" hidden="false" customHeight="true" outlineLevel="0" collapsed="false">
      <c r="A16" s="141" t="s">
        <v>220</v>
      </c>
      <c r="B16" s="143" t="s">
        <v>221</v>
      </c>
      <c r="C16" s="142" t="n">
        <v>0</v>
      </c>
      <c r="D16" s="142" t="n">
        <v>0</v>
      </c>
      <c r="E16" s="142" t="n">
        <v>1</v>
      </c>
      <c r="F16" s="142" t="n">
        <v>0</v>
      </c>
      <c r="G16" s="142" t="n">
        <v>1</v>
      </c>
      <c r="H16" s="142" t="n">
        <v>1</v>
      </c>
      <c r="I16" s="142" t="n">
        <v>0</v>
      </c>
      <c r="J16" s="142" t="n">
        <v>1</v>
      </c>
      <c r="K16" s="142" t="n">
        <v>1</v>
      </c>
      <c r="L16" s="142" t="n">
        <v>0</v>
      </c>
      <c r="M16" s="142" t="n">
        <v>0</v>
      </c>
      <c r="N16" s="142" t="n">
        <v>0</v>
      </c>
      <c r="O16" s="142" t="n">
        <v>0</v>
      </c>
    </row>
    <row r="17" customFormat="false" ht="24" hidden="false" customHeight="true" outlineLevel="0" collapsed="false">
      <c r="A17" s="141" t="s">
        <v>222</v>
      </c>
      <c r="B17" s="141" t="s">
        <v>179</v>
      </c>
      <c r="C17" s="142" t="n">
        <v>0</v>
      </c>
      <c r="D17" s="142" t="n">
        <v>0</v>
      </c>
      <c r="E17" s="142" t="n">
        <v>1</v>
      </c>
      <c r="F17" s="142" t="n">
        <v>2</v>
      </c>
      <c r="G17" s="142" t="n">
        <v>0</v>
      </c>
      <c r="H17" s="142" t="n">
        <v>0</v>
      </c>
      <c r="I17" s="142" t="n">
        <v>0</v>
      </c>
      <c r="J17" s="142" t="n">
        <v>0</v>
      </c>
      <c r="K17" s="142" t="n">
        <v>1</v>
      </c>
      <c r="L17" s="142" t="n">
        <v>1</v>
      </c>
      <c r="M17" s="142" t="n">
        <v>0</v>
      </c>
      <c r="N17" s="142" t="n">
        <v>0</v>
      </c>
      <c r="O17" s="142" t="n">
        <v>0</v>
      </c>
    </row>
    <row r="18" customFormat="false" ht="24" hidden="false" customHeight="true" outlineLevel="0" collapsed="false">
      <c r="A18" s="141" t="s">
        <v>223</v>
      </c>
      <c r="B18" s="141" t="s">
        <v>180</v>
      </c>
      <c r="C18" s="142" t="n">
        <v>0</v>
      </c>
      <c r="D18" s="142" t="n">
        <v>0</v>
      </c>
      <c r="E18" s="142" t="n">
        <v>0</v>
      </c>
      <c r="F18" s="142" t="n">
        <v>0</v>
      </c>
      <c r="G18" s="142" t="n">
        <v>0</v>
      </c>
      <c r="H18" s="142" t="n">
        <v>0</v>
      </c>
      <c r="I18" s="142" t="n">
        <v>0</v>
      </c>
      <c r="J18" s="142" t="n">
        <v>1</v>
      </c>
      <c r="K18" s="142" t="n">
        <v>0</v>
      </c>
      <c r="L18" s="142" t="n">
        <v>0</v>
      </c>
      <c r="M18" s="142" t="n">
        <v>0</v>
      </c>
      <c r="N18" s="142" t="n">
        <v>2</v>
      </c>
      <c r="O18" s="142" t="n">
        <v>0</v>
      </c>
    </row>
    <row r="19" customFormat="false" ht="24" hidden="false" customHeight="true" outlineLevel="0" collapsed="false">
      <c r="A19" s="141" t="s">
        <v>224</v>
      </c>
      <c r="B19" s="141" t="s">
        <v>181</v>
      </c>
      <c r="C19" s="142" t="n">
        <v>1</v>
      </c>
      <c r="D19" s="142" t="n">
        <v>0</v>
      </c>
      <c r="E19" s="142" t="n">
        <v>0</v>
      </c>
      <c r="F19" s="142" t="n">
        <v>0</v>
      </c>
      <c r="G19" s="142" t="n">
        <v>0</v>
      </c>
      <c r="H19" s="142" t="n">
        <v>0</v>
      </c>
      <c r="I19" s="142" t="n">
        <v>0</v>
      </c>
      <c r="J19" s="142" t="n">
        <v>0</v>
      </c>
      <c r="K19" s="142" t="n">
        <v>0</v>
      </c>
      <c r="L19" s="142" t="n">
        <v>0</v>
      </c>
      <c r="M19" s="142" t="n">
        <v>2</v>
      </c>
      <c r="N19" s="142" t="n">
        <v>0</v>
      </c>
      <c r="O19" s="142" t="n">
        <v>0</v>
      </c>
    </row>
    <row r="20" customFormat="false" ht="24" hidden="false" customHeight="true" outlineLevel="0" collapsed="false">
      <c r="A20" s="141" t="s">
        <v>225</v>
      </c>
      <c r="B20" s="141" t="s">
        <v>182</v>
      </c>
      <c r="C20" s="142" t="n">
        <v>0</v>
      </c>
      <c r="D20" s="142" t="n">
        <v>0</v>
      </c>
      <c r="E20" s="142" t="n">
        <v>2</v>
      </c>
      <c r="F20" s="142" t="n">
        <v>0</v>
      </c>
      <c r="G20" s="142" t="n">
        <v>1</v>
      </c>
      <c r="H20" s="142" t="n">
        <v>1</v>
      </c>
      <c r="I20" s="142" t="n">
        <v>0</v>
      </c>
      <c r="J20" s="142" t="n">
        <v>2</v>
      </c>
      <c r="K20" s="142" t="n">
        <v>2</v>
      </c>
      <c r="L20" s="142" t="n">
        <v>0</v>
      </c>
      <c r="M20" s="142" t="n">
        <v>0</v>
      </c>
      <c r="N20" s="142" t="n">
        <v>0</v>
      </c>
      <c r="O20" s="142" t="n">
        <v>1</v>
      </c>
    </row>
    <row r="21" customFormat="false" ht="24" hidden="false" customHeight="true" outlineLevel="0" collapsed="false">
      <c r="A21" s="141" t="s">
        <v>226</v>
      </c>
      <c r="B21" s="141" t="s">
        <v>183</v>
      </c>
      <c r="C21" s="142" t="n">
        <v>0</v>
      </c>
      <c r="D21" s="142" t="n">
        <v>0</v>
      </c>
      <c r="E21" s="142" t="n">
        <v>0</v>
      </c>
      <c r="F21" s="142" t="n">
        <v>0</v>
      </c>
      <c r="G21" s="142" t="n">
        <v>0</v>
      </c>
      <c r="H21" s="142" t="n">
        <v>1</v>
      </c>
      <c r="I21" s="142" t="n">
        <v>0</v>
      </c>
      <c r="J21" s="142" t="n">
        <v>1</v>
      </c>
      <c r="K21" s="142" t="n">
        <v>1</v>
      </c>
      <c r="L21" s="142" t="n">
        <v>0</v>
      </c>
      <c r="M21" s="142" t="n">
        <v>0</v>
      </c>
      <c r="N21" s="142" t="n">
        <v>0</v>
      </c>
      <c r="O21" s="142" t="n">
        <v>2</v>
      </c>
    </row>
    <row r="24" customFormat="false" ht="15" hidden="false" customHeight="false" outlineLevel="0" collapsed="false">
      <c r="C24" s="138" t="s">
        <v>185</v>
      </c>
      <c r="D24" s="138" t="s">
        <v>186</v>
      </c>
      <c r="E24" s="138" t="s">
        <v>187</v>
      </c>
      <c r="F24" s="138" t="s">
        <v>188</v>
      </c>
      <c r="G24" s="139" t="s">
        <v>189</v>
      </c>
      <c r="H24" s="138" t="s">
        <v>190</v>
      </c>
      <c r="I24" s="138" t="s">
        <v>191</v>
      </c>
      <c r="J24" s="138" t="s">
        <v>192</v>
      </c>
      <c r="K24" s="138" t="s">
        <v>193</v>
      </c>
      <c r="L24" s="138" t="s">
        <v>194</v>
      </c>
      <c r="M24" s="138" t="s">
        <v>195</v>
      </c>
      <c r="N24" s="138" t="s">
        <v>196</v>
      </c>
      <c r="O24" s="138" t="s">
        <v>197</v>
      </c>
    </row>
    <row r="25" customFormat="false" ht="84" hidden="false" customHeight="true" outlineLevel="0" collapsed="false">
      <c r="C25" s="140" t="s">
        <v>198</v>
      </c>
      <c r="D25" s="140" t="s">
        <v>199</v>
      </c>
      <c r="E25" s="140" t="s">
        <v>200</v>
      </c>
      <c r="F25" s="140" t="s">
        <v>201</v>
      </c>
      <c r="G25" s="140" t="s">
        <v>202</v>
      </c>
      <c r="H25" s="140" t="s">
        <v>203</v>
      </c>
      <c r="I25" s="140" t="s">
        <v>204</v>
      </c>
      <c r="J25" s="140" t="s">
        <v>205</v>
      </c>
      <c r="K25" s="140" t="s">
        <v>206</v>
      </c>
      <c r="L25" s="140" t="s">
        <v>207</v>
      </c>
      <c r="M25" s="140" t="s">
        <v>208</v>
      </c>
      <c r="N25" s="140" t="s">
        <v>209</v>
      </c>
      <c r="O25" s="140" t="s">
        <v>210</v>
      </c>
    </row>
    <row r="26" customFormat="false" ht="15" hidden="false" customHeight="false" outlineLevel="0" collapsed="false">
      <c r="C26" s="144" t="n">
        <f aca="false" t="array" ref="C26:O26">MMULT(C3:O3,C9:O21)</f>
        <v>12</v>
      </c>
      <c r="D26" s="144" t="n">
        <v>12</v>
      </c>
      <c r="E26" s="144" t="n">
        <v>18</v>
      </c>
      <c r="F26" s="144" t="n">
        <v>14</v>
      </c>
      <c r="G26" s="144" t="n">
        <v>19</v>
      </c>
      <c r="H26" s="144" t="n">
        <v>18</v>
      </c>
      <c r="I26" s="144" t="n">
        <v>12</v>
      </c>
      <c r="J26" s="144" t="n">
        <v>26</v>
      </c>
      <c r="K26" s="144" t="n">
        <v>23</v>
      </c>
      <c r="L26" s="144" t="n">
        <v>13</v>
      </c>
      <c r="M26" s="144" t="n">
        <v>16</v>
      </c>
      <c r="N26" s="144" t="n">
        <v>6</v>
      </c>
      <c r="O26" s="144" t="n">
        <v>14</v>
      </c>
    </row>
    <row r="29" customFormat="false" ht="15" hidden="false" customHeight="false" outlineLevel="0" collapsed="false">
      <c r="A29" s="145" t="s">
        <v>227</v>
      </c>
      <c r="B29" s="145"/>
      <c r="C29" s="146" t="s">
        <v>113</v>
      </c>
      <c r="D29" s="146" t="s">
        <v>114</v>
      </c>
      <c r="E29" s="146" t="s">
        <v>115</v>
      </c>
      <c r="F29" s="146" t="s">
        <v>116</v>
      </c>
      <c r="G29" s="146" t="s">
        <v>117</v>
      </c>
      <c r="H29" s="146" t="s">
        <v>118</v>
      </c>
      <c r="I29" s="146" t="s">
        <v>119</v>
      </c>
      <c r="J29" s="146" t="s">
        <v>120</v>
      </c>
      <c r="K29" s="146" t="s">
        <v>121</v>
      </c>
      <c r="L29" s="146" t="s">
        <v>122</v>
      </c>
      <c r="M29" s="146" t="s">
        <v>123</v>
      </c>
      <c r="N29" s="146" t="s">
        <v>124</v>
      </c>
      <c r="O29" s="146" t="s">
        <v>125</v>
      </c>
      <c r="P29" s="146" t="s">
        <v>126</v>
      </c>
      <c r="Q29" s="146" t="s">
        <v>127</v>
      </c>
      <c r="R29" s="146" t="s">
        <v>128</v>
      </c>
      <c r="S29" s="146" t="s">
        <v>129</v>
      </c>
      <c r="T29" s="146" t="s">
        <v>130</v>
      </c>
      <c r="U29" s="146" t="s">
        <v>131</v>
      </c>
      <c r="V29" s="146" t="s">
        <v>132</v>
      </c>
      <c r="W29" s="146" t="s">
        <v>133</v>
      </c>
      <c r="X29" s="146" t="s">
        <v>134</v>
      </c>
      <c r="Y29" s="146" t="s">
        <v>135</v>
      </c>
      <c r="Z29" s="146" t="s">
        <v>136</v>
      </c>
      <c r="AA29" s="146" t="s">
        <v>137</v>
      </c>
      <c r="AB29" s="146" t="s">
        <v>138</v>
      </c>
      <c r="AC29" s="146" t="s">
        <v>139</v>
      </c>
      <c r="AD29" s="146" t="s">
        <v>140</v>
      </c>
      <c r="AE29" s="146" t="s">
        <v>141</v>
      </c>
      <c r="AF29" s="146" t="s">
        <v>142</v>
      </c>
      <c r="AG29" s="146" t="s">
        <v>143</v>
      </c>
      <c r="AH29" s="146" t="s">
        <v>144</v>
      </c>
      <c r="AI29" s="146" t="s">
        <v>145</v>
      </c>
      <c r="AJ29" s="146" t="s">
        <v>146</v>
      </c>
      <c r="AK29" s="146" t="s">
        <v>147</v>
      </c>
      <c r="AL29" s="146" t="s">
        <v>148</v>
      </c>
      <c r="AM29" s="146" t="s">
        <v>149</v>
      </c>
      <c r="AN29" s="146" t="s">
        <v>150</v>
      </c>
      <c r="AO29" s="146" t="s">
        <v>151</v>
      </c>
      <c r="AP29" s="146" t="s">
        <v>152</v>
      </c>
    </row>
    <row r="30" customFormat="false" ht="67.5" hidden="false" customHeight="true" outlineLevel="0" collapsed="false">
      <c r="A30" s="145"/>
      <c r="B30" s="145"/>
      <c r="C30" s="147" t="s">
        <v>228</v>
      </c>
      <c r="D30" s="147" t="s">
        <v>229</v>
      </c>
      <c r="E30" s="147" t="s">
        <v>230</v>
      </c>
      <c r="F30" s="147" t="s">
        <v>231</v>
      </c>
      <c r="G30" s="147" t="s">
        <v>232</v>
      </c>
      <c r="H30" s="147" t="s">
        <v>233</v>
      </c>
      <c r="I30" s="147" t="s">
        <v>234</v>
      </c>
      <c r="J30" s="147" t="s">
        <v>235</v>
      </c>
      <c r="K30" s="147" t="s">
        <v>236</v>
      </c>
      <c r="L30" s="147" t="s">
        <v>237</v>
      </c>
      <c r="M30" s="147" t="s">
        <v>238</v>
      </c>
      <c r="N30" s="147" t="s">
        <v>239</v>
      </c>
      <c r="O30" s="147" t="s">
        <v>240</v>
      </c>
      <c r="P30" s="147" t="s">
        <v>241</v>
      </c>
      <c r="Q30" s="147" t="s">
        <v>242</v>
      </c>
      <c r="R30" s="147" t="s">
        <v>243</v>
      </c>
      <c r="S30" s="147" t="s">
        <v>244</v>
      </c>
      <c r="T30" s="147" t="s">
        <v>245</v>
      </c>
      <c r="U30" s="147" t="s">
        <v>246</v>
      </c>
      <c r="V30" s="147" t="s">
        <v>247</v>
      </c>
      <c r="W30" s="147" t="s">
        <v>248</v>
      </c>
      <c r="X30" s="147" t="s">
        <v>249</v>
      </c>
      <c r="Y30" s="147" t="s">
        <v>250</v>
      </c>
      <c r="Z30" s="147" t="s">
        <v>251</v>
      </c>
      <c r="AA30" s="147" t="s">
        <v>252</v>
      </c>
      <c r="AB30" s="147" t="s">
        <v>253</v>
      </c>
      <c r="AC30" s="147" t="s">
        <v>254</v>
      </c>
      <c r="AD30" s="147" t="s">
        <v>255</v>
      </c>
      <c r="AE30" s="147" t="s">
        <v>256</v>
      </c>
      <c r="AF30" s="147" t="s">
        <v>257</v>
      </c>
      <c r="AG30" s="147" t="s">
        <v>258</v>
      </c>
      <c r="AH30" s="147" t="s">
        <v>259</v>
      </c>
      <c r="AI30" s="147" t="s">
        <v>260</v>
      </c>
      <c r="AJ30" s="147" t="s">
        <v>261</v>
      </c>
      <c r="AK30" s="147" t="s">
        <v>262</v>
      </c>
      <c r="AL30" s="147" t="s">
        <v>263</v>
      </c>
      <c r="AM30" s="147" t="s">
        <v>264</v>
      </c>
      <c r="AN30" s="147" t="s">
        <v>265</v>
      </c>
      <c r="AO30" s="147" t="s">
        <v>266</v>
      </c>
      <c r="AP30" s="147" t="s">
        <v>267</v>
      </c>
    </row>
    <row r="31" customFormat="false" ht="33.75" hidden="false" customHeight="true" outlineLevel="0" collapsed="false">
      <c r="A31" s="148" t="s">
        <v>185</v>
      </c>
      <c r="B31" s="149" t="s">
        <v>198</v>
      </c>
      <c r="C31" s="142" t="n">
        <v>1</v>
      </c>
      <c r="D31" s="142" t="n">
        <v>0</v>
      </c>
      <c r="E31" s="142" t="n">
        <v>1</v>
      </c>
      <c r="F31" s="142" t="n">
        <v>0</v>
      </c>
      <c r="G31" s="142" t="n">
        <v>0</v>
      </c>
      <c r="H31" s="142" t="n">
        <v>1</v>
      </c>
      <c r="I31" s="142" t="n">
        <v>0</v>
      </c>
      <c r="J31" s="142" t="n">
        <v>0</v>
      </c>
      <c r="K31" s="142" t="n">
        <v>0</v>
      </c>
      <c r="L31" s="142" t="n">
        <v>0</v>
      </c>
      <c r="M31" s="142" t="n">
        <v>0</v>
      </c>
      <c r="N31" s="142" t="n">
        <v>0</v>
      </c>
      <c r="O31" s="142" t="n">
        <v>0</v>
      </c>
      <c r="P31" s="142" t="n">
        <v>0</v>
      </c>
      <c r="Q31" s="142" t="n">
        <v>0</v>
      </c>
      <c r="R31" s="142" t="n">
        <v>0</v>
      </c>
      <c r="S31" s="142" t="n">
        <v>0</v>
      </c>
      <c r="T31" s="142" t="n">
        <v>1</v>
      </c>
      <c r="U31" s="142" t="n">
        <v>1</v>
      </c>
      <c r="V31" s="142" t="n">
        <v>0</v>
      </c>
      <c r="W31" s="142" t="n">
        <v>0</v>
      </c>
      <c r="X31" s="142" t="n">
        <v>0</v>
      </c>
      <c r="Y31" s="142" t="n">
        <v>0</v>
      </c>
      <c r="Z31" s="142" t="n">
        <v>0</v>
      </c>
      <c r="AA31" s="142" t="n">
        <v>0</v>
      </c>
      <c r="AB31" s="142" t="n">
        <v>0</v>
      </c>
      <c r="AC31" s="142" t="n">
        <v>0</v>
      </c>
      <c r="AD31" s="142" t="n">
        <v>0</v>
      </c>
      <c r="AE31" s="142" t="n">
        <v>0</v>
      </c>
      <c r="AF31" s="142" t="n">
        <v>0</v>
      </c>
      <c r="AG31" s="142" t="n">
        <v>0</v>
      </c>
      <c r="AH31" s="142" t="n">
        <v>0</v>
      </c>
      <c r="AI31" s="142" t="n">
        <v>0</v>
      </c>
      <c r="AJ31" s="142" t="n">
        <v>0</v>
      </c>
      <c r="AK31" s="142" t="n">
        <v>1</v>
      </c>
      <c r="AL31" s="142" t="n">
        <v>0</v>
      </c>
      <c r="AM31" s="142" t="n">
        <v>1</v>
      </c>
      <c r="AN31" s="142" t="n">
        <v>1</v>
      </c>
      <c r="AO31" s="142" t="n">
        <v>2</v>
      </c>
      <c r="AP31" s="142" t="n">
        <v>1</v>
      </c>
    </row>
    <row r="32" customFormat="false" ht="22.5" hidden="false" customHeight="true" outlineLevel="0" collapsed="false">
      <c r="A32" s="148" t="s">
        <v>186</v>
      </c>
      <c r="B32" s="149" t="s">
        <v>199</v>
      </c>
      <c r="C32" s="142" t="n">
        <v>1</v>
      </c>
      <c r="D32" s="142" t="n">
        <v>0</v>
      </c>
      <c r="E32" s="142" t="n">
        <v>2</v>
      </c>
      <c r="F32" s="142" t="n">
        <v>0</v>
      </c>
      <c r="G32" s="142" t="n">
        <v>0</v>
      </c>
      <c r="H32" s="142" t="n">
        <v>1</v>
      </c>
      <c r="I32" s="142" t="n">
        <v>0</v>
      </c>
      <c r="J32" s="142" t="n">
        <v>0</v>
      </c>
      <c r="K32" s="142" t="n">
        <v>0</v>
      </c>
      <c r="L32" s="142" t="n">
        <v>0</v>
      </c>
      <c r="M32" s="142" t="n">
        <v>0</v>
      </c>
      <c r="N32" s="142" t="n">
        <v>0</v>
      </c>
      <c r="O32" s="142" t="n">
        <v>0</v>
      </c>
      <c r="P32" s="142" t="n">
        <v>0</v>
      </c>
      <c r="Q32" s="142" t="n">
        <v>0</v>
      </c>
      <c r="R32" s="142" t="n">
        <v>0</v>
      </c>
      <c r="S32" s="142" t="n">
        <v>2</v>
      </c>
      <c r="T32" s="142" t="n">
        <v>1</v>
      </c>
      <c r="U32" s="142" t="n">
        <v>1</v>
      </c>
      <c r="V32" s="142" t="n">
        <v>0</v>
      </c>
      <c r="W32" s="142" t="n">
        <v>0</v>
      </c>
      <c r="X32" s="142" t="n">
        <v>0</v>
      </c>
      <c r="Y32" s="142" t="n">
        <v>0</v>
      </c>
      <c r="Z32" s="142" t="n">
        <v>0</v>
      </c>
      <c r="AA32" s="142" t="n">
        <v>1</v>
      </c>
      <c r="AB32" s="142" t="n">
        <v>1</v>
      </c>
      <c r="AC32" s="142" t="n">
        <v>0</v>
      </c>
      <c r="AD32" s="142" t="n">
        <v>0</v>
      </c>
      <c r="AE32" s="142" t="n">
        <v>0</v>
      </c>
      <c r="AF32" s="142" t="n">
        <v>0</v>
      </c>
      <c r="AG32" s="142" t="n">
        <v>0</v>
      </c>
      <c r="AH32" s="142" t="n">
        <v>1</v>
      </c>
      <c r="AI32" s="142" t="n">
        <v>1</v>
      </c>
      <c r="AJ32" s="142" t="n">
        <v>1</v>
      </c>
      <c r="AK32" s="142" t="n">
        <v>2</v>
      </c>
      <c r="AL32" s="142" t="n">
        <v>1</v>
      </c>
      <c r="AM32" s="142" t="n">
        <v>0</v>
      </c>
      <c r="AN32" s="142" t="n">
        <v>1</v>
      </c>
      <c r="AO32" s="142" t="n">
        <v>0</v>
      </c>
      <c r="AP32" s="142" t="n">
        <v>1</v>
      </c>
    </row>
    <row r="33" customFormat="false" ht="22.5" hidden="false" customHeight="true" outlineLevel="0" collapsed="false">
      <c r="A33" s="148" t="s">
        <v>187</v>
      </c>
      <c r="B33" s="149" t="s">
        <v>200</v>
      </c>
      <c r="C33" s="142" t="n">
        <v>2</v>
      </c>
      <c r="D33" s="142" t="n">
        <v>2</v>
      </c>
      <c r="E33" s="142" t="n">
        <v>0</v>
      </c>
      <c r="F33" s="142" t="n">
        <v>1</v>
      </c>
      <c r="G33" s="142" t="n">
        <v>0</v>
      </c>
      <c r="H33" s="142" t="n">
        <v>2</v>
      </c>
      <c r="I33" s="142" t="n">
        <v>1</v>
      </c>
      <c r="J33" s="142" t="n">
        <v>1</v>
      </c>
      <c r="K33" s="142" t="n">
        <v>1</v>
      </c>
      <c r="L33" s="142" t="n">
        <v>2</v>
      </c>
      <c r="M33" s="142" t="n">
        <v>1</v>
      </c>
      <c r="N33" s="142" t="n">
        <v>1</v>
      </c>
      <c r="O33" s="142" t="n">
        <v>1</v>
      </c>
      <c r="P33" s="142" t="n">
        <v>0</v>
      </c>
      <c r="Q33" s="142" t="n">
        <v>0</v>
      </c>
      <c r="R33" s="142" t="n">
        <v>1</v>
      </c>
      <c r="S33" s="142" t="n">
        <v>0</v>
      </c>
      <c r="T33" s="142" t="n">
        <v>0</v>
      </c>
      <c r="U33" s="142" t="n">
        <v>0</v>
      </c>
      <c r="V33" s="142" t="n">
        <v>2</v>
      </c>
      <c r="W33" s="142" t="n">
        <v>1</v>
      </c>
      <c r="X33" s="142" t="n">
        <v>1</v>
      </c>
      <c r="Y33" s="142" t="n">
        <v>0</v>
      </c>
      <c r="Z33" s="142" t="n">
        <v>2</v>
      </c>
      <c r="AA33" s="142" t="n">
        <v>0</v>
      </c>
      <c r="AB33" s="142" t="n">
        <v>0</v>
      </c>
      <c r="AC33" s="142" t="n">
        <v>1</v>
      </c>
      <c r="AD33" s="142" t="n">
        <v>0</v>
      </c>
      <c r="AE33" s="142" t="n">
        <v>0</v>
      </c>
      <c r="AF33" s="142" t="n">
        <v>2</v>
      </c>
      <c r="AG33" s="142" t="n">
        <v>0</v>
      </c>
      <c r="AH33" s="142" t="n">
        <v>0</v>
      </c>
      <c r="AI33" s="142" t="n">
        <v>0</v>
      </c>
      <c r="AJ33" s="142" t="n">
        <v>0</v>
      </c>
      <c r="AK33" s="142" t="n">
        <v>0</v>
      </c>
      <c r="AL33" s="142" t="n">
        <v>0</v>
      </c>
      <c r="AM33" s="142" t="n">
        <v>1</v>
      </c>
      <c r="AN33" s="142" t="n">
        <v>0</v>
      </c>
      <c r="AO33" s="142" t="n">
        <v>0</v>
      </c>
      <c r="AP33" s="142" t="n">
        <v>0</v>
      </c>
    </row>
    <row r="34" customFormat="false" ht="22.5" hidden="false" customHeight="true" outlineLevel="0" collapsed="false">
      <c r="A34" s="148" t="s">
        <v>188</v>
      </c>
      <c r="B34" s="149" t="s">
        <v>201</v>
      </c>
      <c r="C34" s="142" t="n">
        <v>0</v>
      </c>
      <c r="D34" s="142" t="n">
        <v>0</v>
      </c>
      <c r="E34" s="142" t="n">
        <v>0</v>
      </c>
      <c r="F34" s="142" t="n">
        <v>0</v>
      </c>
      <c r="G34" s="142" t="n">
        <v>1</v>
      </c>
      <c r="H34" s="142" t="n">
        <v>0</v>
      </c>
      <c r="I34" s="142" t="n">
        <v>0</v>
      </c>
      <c r="J34" s="142" t="n">
        <v>0</v>
      </c>
      <c r="K34" s="142" t="n">
        <v>0</v>
      </c>
      <c r="L34" s="142" t="n">
        <v>0</v>
      </c>
      <c r="M34" s="142" t="n">
        <v>2</v>
      </c>
      <c r="N34" s="142" t="n">
        <v>0</v>
      </c>
      <c r="O34" s="142" t="n">
        <v>0</v>
      </c>
      <c r="P34" s="142" t="n">
        <v>0</v>
      </c>
      <c r="Q34" s="142" t="n">
        <v>0</v>
      </c>
      <c r="R34" s="142" t="n">
        <v>1</v>
      </c>
      <c r="S34" s="142" t="n">
        <v>0</v>
      </c>
      <c r="T34" s="142" t="n">
        <v>0</v>
      </c>
      <c r="U34" s="142" t="n">
        <v>1</v>
      </c>
      <c r="V34" s="142" t="n">
        <v>0</v>
      </c>
      <c r="W34" s="142" t="n">
        <v>0</v>
      </c>
      <c r="X34" s="142" t="n">
        <v>0</v>
      </c>
      <c r="Y34" s="142" t="n">
        <v>0</v>
      </c>
      <c r="Z34" s="142" t="n">
        <v>0</v>
      </c>
      <c r="AA34" s="142" t="n">
        <v>0</v>
      </c>
      <c r="AB34" s="142" t="n">
        <v>0</v>
      </c>
      <c r="AC34" s="142" t="n">
        <v>0</v>
      </c>
      <c r="AD34" s="142" t="n">
        <v>2</v>
      </c>
      <c r="AE34" s="142" t="n">
        <v>0</v>
      </c>
      <c r="AF34" s="142" t="n">
        <v>0</v>
      </c>
      <c r="AG34" s="142" t="n">
        <v>0</v>
      </c>
      <c r="AH34" s="142" t="n">
        <v>0</v>
      </c>
      <c r="AI34" s="142" t="n">
        <v>0</v>
      </c>
      <c r="AJ34" s="142" t="n">
        <v>0</v>
      </c>
      <c r="AK34" s="142" t="n">
        <v>0</v>
      </c>
      <c r="AL34" s="142" t="n">
        <v>0</v>
      </c>
      <c r="AM34" s="142" t="n">
        <v>0</v>
      </c>
      <c r="AN34" s="142" t="n">
        <v>1</v>
      </c>
      <c r="AO34" s="142" t="n">
        <v>0</v>
      </c>
      <c r="AP34" s="142" t="n">
        <v>1</v>
      </c>
    </row>
    <row r="35" customFormat="false" ht="22.5" hidden="false" customHeight="true" outlineLevel="0" collapsed="false">
      <c r="A35" s="150" t="s">
        <v>189</v>
      </c>
      <c r="B35" s="149" t="s">
        <v>268</v>
      </c>
      <c r="C35" s="142" t="n">
        <v>0</v>
      </c>
      <c r="D35" s="142" t="n">
        <v>1</v>
      </c>
      <c r="E35" s="142" t="n">
        <v>0</v>
      </c>
      <c r="F35" s="142" t="n">
        <v>1</v>
      </c>
      <c r="G35" s="142" t="n">
        <v>0</v>
      </c>
      <c r="H35" s="142" t="n">
        <v>1</v>
      </c>
      <c r="I35" s="142" t="n">
        <v>1</v>
      </c>
      <c r="J35" s="142" t="n">
        <v>1</v>
      </c>
      <c r="K35" s="142" t="n">
        <v>0</v>
      </c>
      <c r="L35" s="142" t="n">
        <v>2</v>
      </c>
      <c r="M35" s="142" t="n">
        <v>0</v>
      </c>
      <c r="N35" s="142" t="n">
        <v>1</v>
      </c>
      <c r="O35" s="142" t="n">
        <v>2</v>
      </c>
      <c r="P35" s="142" t="n">
        <v>2</v>
      </c>
      <c r="Q35" s="142" t="n">
        <v>2</v>
      </c>
      <c r="R35" s="142" t="n">
        <v>1</v>
      </c>
      <c r="S35" s="142" t="n">
        <v>0</v>
      </c>
      <c r="T35" s="142" t="n">
        <v>0</v>
      </c>
      <c r="U35" s="142" t="n">
        <v>0</v>
      </c>
      <c r="V35" s="142" t="n">
        <v>0</v>
      </c>
      <c r="W35" s="142" t="n">
        <v>2</v>
      </c>
      <c r="X35" s="142" t="n">
        <v>2</v>
      </c>
      <c r="Y35" s="142" t="n">
        <v>2</v>
      </c>
      <c r="Z35" s="142" t="n">
        <v>1</v>
      </c>
      <c r="AA35" s="142" t="n">
        <v>1</v>
      </c>
      <c r="AB35" s="142" t="n">
        <v>0</v>
      </c>
      <c r="AC35" s="142" t="n">
        <v>0</v>
      </c>
      <c r="AD35" s="142" t="n">
        <v>0</v>
      </c>
      <c r="AE35" s="142" t="n">
        <v>1</v>
      </c>
      <c r="AF35" s="142" t="n">
        <v>1</v>
      </c>
      <c r="AG35" s="142" t="n">
        <v>2</v>
      </c>
      <c r="AH35" s="142" t="n">
        <v>2</v>
      </c>
      <c r="AI35" s="142" t="n">
        <v>2</v>
      </c>
      <c r="AJ35" s="142" t="n">
        <v>2</v>
      </c>
      <c r="AK35" s="142" t="n">
        <v>1</v>
      </c>
      <c r="AL35" s="142" t="n">
        <v>1</v>
      </c>
      <c r="AM35" s="142" t="n">
        <v>2</v>
      </c>
      <c r="AN35" s="142" t="n">
        <v>1</v>
      </c>
      <c r="AO35" s="142" t="n">
        <v>0</v>
      </c>
      <c r="AP35" s="142" t="n">
        <v>1</v>
      </c>
    </row>
    <row r="36" customFormat="false" ht="22.5" hidden="false" customHeight="true" outlineLevel="0" collapsed="false">
      <c r="A36" s="148" t="s">
        <v>190</v>
      </c>
      <c r="B36" s="149" t="s">
        <v>203</v>
      </c>
      <c r="C36" s="142" t="n">
        <v>0</v>
      </c>
      <c r="D36" s="142" t="n">
        <v>1</v>
      </c>
      <c r="E36" s="142" t="n">
        <v>0</v>
      </c>
      <c r="F36" s="142" t="n">
        <v>1</v>
      </c>
      <c r="G36" s="142" t="n">
        <v>0</v>
      </c>
      <c r="H36" s="142" t="n">
        <v>0</v>
      </c>
      <c r="I36" s="142" t="n">
        <v>1</v>
      </c>
      <c r="J36" s="142" t="n">
        <v>2</v>
      </c>
      <c r="K36" s="142" t="n">
        <v>2</v>
      </c>
      <c r="L36" s="142" t="n">
        <v>1</v>
      </c>
      <c r="M36" s="142" t="n">
        <v>0</v>
      </c>
      <c r="N36" s="142" t="n">
        <v>0</v>
      </c>
      <c r="O36" s="142" t="n">
        <v>2</v>
      </c>
      <c r="P36" s="142" t="n">
        <v>0</v>
      </c>
      <c r="Q36" s="142" t="n">
        <v>1</v>
      </c>
      <c r="R36" s="142" t="n">
        <v>0</v>
      </c>
      <c r="S36" s="142" t="n">
        <v>0</v>
      </c>
      <c r="T36" s="142" t="n">
        <v>0</v>
      </c>
      <c r="U36" s="142" t="n">
        <v>0</v>
      </c>
      <c r="V36" s="142" t="n">
        <v>1</v>
      </c>
      <c r="W36" s="142" t="n">
        <v>2</v>
      </c>
      <c r="X36" s="142" t="n">
        <v>2</v>
      </c>
      <c r="Y36" s="142" t="n">
        <v>0</v>
      </c>
      <c r="Z36" s="142" t="n">
        <v>1</v>
      </c>
      <c r="AA36" s="142" t="n">
        <v>2</v>
      </c>
      <c r="AB36" s="142" t="n">
        <v>2</v>
      </c>
      <c r="AC36" s="142" t="n">
        <v>1</v>
      </c>
      <c r="AD36" s="142" t="n">
        <v>0</v>
      </c>
      <c r="AE36" s="142" t="n">
        <v>0</v>
      </c>
      <c r="AF36" s="142" t="n">
        <v>2</v>
      </c>
      <c r="AG36" s="142" t="n">
        <v>0</v>
      </c>
      <c r="AH36" s="142" t="n">
        <v>0</v>
      </c>
      <c r="AI36" s="142" t="n">
        <v>0</v>
      </c>
      <c r="AJ36" s="142" t="n">
        <v>0</v>
      </c>
      <c r="AK36" s="142" t="n">
        <v>0</v>
      </c>
      <c r="AL36" s="142" t="n">
        <v>0</v>
      </c>
      <c r="AM36" s="142" t="n">
        <v>0</v>
      </c>
      <c r="AN36" s="142" t="n">
        <v>0</v>
      </c>
      <c r="AO36" s="142" t="n">
        <v>0</v>
      </c>
      <c r="AP36" s="142" t="n">
        <v>0</v>
      </c>
    </row>
    <row r="37" customFormat="false" ht="22.5" hidden="false" customHeight="true" outlineLevel="0" collapsed="false">
      <c r="A37" s="148" t="s">
        <v>191</v>
      </c>
      <c r="B37" s="149" t="s">
        <v>204</v>
      </c>
      <c r="C37" s="142" t="n">
        <v>0</v>
      </c>
      <c r="D37" s="142" t="n">
        <v>0</v>
      </c>
      <c r="E37" s="142" t="n">
        <v>2</v>
      </c>
      <c r="F37" s="142" t="n">
        <v>0</v>
      </c>
      <c r="G37" s="142" t="n">
        <v>0</v>
      </c>
      <c r="H37" s="142" t="n">
        <v>1</v>
      </c>
      <c r="I37" s="142" t="n">
        <v>0</v>
      </c>
      <c r="J37" s="142" t="n">
        <v>1</v>
      </c>
      <c r="K37" s="142" t="n">
        <v>0</v>
      </c>
      <c r="L37" s="142" t="n">
        <v>0</v>
      </c>
      <c r="M37" s="142" t="n">
        <v>0</v>
      </c>
      <c r="N37" s="142" t="n">
        <v>0</v>
      </c>
      <c r="O37" s="142" t="n">
        <v>0</v>
      </c>
      <c r="P37" s="142" t="n">
        <v>0</v>
      </c>
      <c r="Q37" s="142" t="n">
        <v>0</v>
      </c>
      <c r="R37" s="142" t="n">
        <v>0</v>
      </c>
      <c r="S37" s="142" t="n">
        <v>2</v>
      </c>
      <c r="T37" s="142" t="n">
        <v>2</v>
      </c>
      <c r="U37" s="142" t="n">
        <v>1</v>
      </c>
      <c r="V37" s="142" t="n">
        <v>0</v>
      </c>
      <c r="W37" s="142" t="n">
        <v>0</v>
      </c>
      <c r="X37" s="142" t="n">
        <v>0</v>
      </c>
      <c r="Y37" s="142" t="n">
        <v>1</v>
      </c>
      <c r="Z37" s="142" t="n">
        <v>0</v>
      </c>
      <c r="AA37" s="142" t="n">
        <v>0</v>
      </c>
      <c r="AB37" s="142" t="n">
        <v>0</v>
      </c>
      <c r="AC37" s="142" t="n">
        <v>0</v>
      </c>
      <c r="AD37" s="142" t="n">
        <v>0</v>
      </c>
      <c r="AE37" s="142" t="n">
        <v>0</v>
      </c>
      <c r="AF37" s="142" t="n">
        <v>0</v>
      </c>
      <c r="AG37" s="142" t="n">
        <v>0</v>
      </c>
      <c r="AH37" s="142" t="n">
        <v>1</v>
      </c>
      <c r="AI37" s="142" t="n">
        <v>1</v>
      </c>
      <c r="AJ37" s="142" t="n">
        <v>1</v>
      </c>
      <c r="AK37" s="142" t="n">
        <v>2</v>
      </c>
      <c r="AL37" s="142" t="n">
        <v>1</v>
      </c>
      <c r="AM37" s="142" t="n">
        <v>0</v>
      </c>
      <c r="AN37" s="142" t="n">
        <v>1</v>
      </c>
      <c r="AO37" s="142" t="n">
        <v>0</v>
      </c>
      <c r="AP37" s="142" t="n">
        <v>1</v>
      </c>
    </row>
    <row r="38" customFormat="false" ht="33.75" hidden="false" customHeight="true" outlineLevel="0" collapsed="false">
      <c r="A38" s="148" t="s">
        <v>192</v>
      </c>
      <c r="B38" s="149" t="s">
        <v>205</v>
      </c>
      <c r="C38" s="142" t="n">
        <v>1</v>
      </c>
      <c r="D38" s="142" t="n">
        <v>1</v>
      </c>
      <c r="E38" s="142" t="n">
        <v>0</v>
      </c>
      <c r="F38" s="142" t="n">
        <v>1</v>
      </c>
      <c r="G38" s="142" t="n">
        <v>0</v>
      </c>
      <c r="H38" s="142" t="n">
        <v>1</v>
      </c>
      <c r="I38" s="142" t="n">
        <v>2</v>
      </c>
      <c r="J38" s="142" t="n">
        <v>2</v>
      </c>
      <c r="K38" s="142" t="n">
        <v>1</v>
      </c>
      <c r="L38" s="142" t="n">
        <v>1</v>
      </c>
      <c r="M38" s="142" t="n">
        <v>0</v>
      </c>
      <c r="N38" s="142" t="n">
        <v>0</v>
      </c>
      <c r="O38" s="142" t="n">
        <v>1</v>
      </c>
      <c r="P38" s="142" t="n">
        <v>1</v>
      </c>
      <c r="Q38" s="142" t="n">
        <v>0</v>
      </c>
      <c r="R38" s="142" t="n">
        <v>0</v>
      </c>
      <c r="S38" s="142" t="n">
        <v>0</v>
      </c>
      <c r="T38" s="142" t="n">
        <v>0</v>
      </c>
      <c r="U38" s="142" t="n">
        <v>0</v>
      </c>
      <c r="V38" s="142" t="n">
        <v>1</v>
      </c>
      <c r="W38" s="142" t="n">
        <v>1</v>
      </c>
      <c r="X38" s="142" t="n">
        <v>1</v>
      </c>
      <c r="Y38" s="142" t="n">
        <v>0</v>
      </c>
      <c r="Z38" s="142" t="n">
        <v>2</v>
      </c>
      <c r="AA38" s="142" t="n">
        <v>1</v>
      </c>
      <c r="AB38" s="142" t="n">
        <v>0</v>
      </c>
      <c r="AC38" s="142" t="n">
        <v>1</v>
      </c>
      <c r="AD38" s="142" t="n">
        <v>0</v>
      </c>
      <c r="AE38" s="142" t="n">
        <v>0</v>
      </c>
      <c r="AF38" s="142" t="n">
        <v>0</v>
      </c>
      <c r="AG38" s="142" t="n">
        <v>1</v>
      </c>
      <c r="AH38" s="142" t="n">
        <v>0</v>
      </c>
      <c r="AI38" s="142" t="n">
        <v>0</v>
      </c>
      <c r="AJ38" s="142" t="n">
        <v>0</v>
      </c>
      <c r="AK38" s="142" t="n">
        <v>0</v>
      </c>
      <c r="AL38" s="142" t="n">
        <v>2</v>
      </c>
      <c r="AM38" s="142" t="n">
        <v>0</v>
      </c>
      <c r="AN38" s="142" t="n">
        <v>0</v>
      </c>
      <c r="AO38" s="142" t="n">
        <v>0</v>
      </c>
      <c r="AP38" s="142" t="n">
        <v>0</v>
      </c>
    </row>
    <row r="39" customFormat="false" ht="33.75" hidden="false" customHeight="true" outlineLevel="0" collapsed="false">
      <c r="A39" s="148" t="s">
        <v>193</v>
      </c>
      <c r="B39" s="149" t="s">
        <v>206</v>
      </c>
      <c r="C39" s="142" t="n">
        <v>0</v>
      </c>
      <c r="D39" s="142" t="n">
        <v>0</v>
      </c>
      <c r="E39" s="142" t="n">
        <v>0</v>
      </c>
      <c r="F39" s="142" t="n">
        <v>2</v>
      </c>
      <c r="G39" s="142" t="n">
        <v>0</v>
      </c>
      <c r="H39" s="142" t="n">
        <v>1</v>
      </c>
      <c r="I39" s="142" t="n">
        <v>0</v>
      </c>
      <c r="J39" s="142" t="n">
        <v>0</v>
      </c>
      <c r="K39" s="142" t="n">
        <v>0</v>
      </c>
      <c r="L39" s="142" t="n">
        <v>1</v>
      </c>
      <c r="M39" s="142" t="n">
        <v>2</v>
      </c>
      <c r="N39" s="142" t="n">
        <v>1</v>
      </c>
      <c r="O39" s="142" t="n">
        <v>1</v>
      </c>
      <c r="P39" s="142" t="n">
        <v>0</v>
      </c>
      <c r="Q39" s="142" t="n">
        <v>1</v>
      </c>
      <c r="R39" s="142" t="n">
        <v>2</v>
      </c>
      <c r="S39" s="142" t="n">
        <v>0</v>
      </c>
      <c r="T39" s="142" t="n">
        <v>0</v>
      </c>
      <c r="U39" s="142" t="n">
        <v>0</v>
      </c>
      <c r="V39" s="142" t="n">
        <v>2</v>
      </c>
      <c r="W39" s="142" t="n">
        <v>2</v>
      </c>
      <c r="X39" s="142" t="n">
        <v>2</v>
      </c>
      <c r="Y39" s="142" t="n">
        <v>1</v>
      </c>
      <c r="Z39" s="142" t="n">
        <v>2</v>
      </c>
      <c r="AA39" s="142" t="n">
        <v>0</v>
      </c>
      <c r="AB39" s="142" t="n">
        <v>1</v>
      </c>
      <c r="AC39" s="142" t="n">
        <v>1</v>
      </c>
      <c r="AD39" s="142" t="n">
        <v>0</v>
      </c>
      <c r="AE39" s="142" t="n">
        <v>0</v>
      </c>
      <c r="AF39" s="142" t="n">
        <v>2</v>
      </c>
      <c r="AG39" s="142" t="n">
        <v>0</v>
      </c>
      <c r="AH39" s="142" t="n">
        <v>0</v>
      </c>
      <c r="AI39" s="142" t="n">
        <v>0</v>
      </c>
      <c r="AJ39" s="142" t="n">
        <v>0</v>
      </c>
      <c r="AK39" s="142" t="n">
        <v>0</v>
      </c>
      <c r="AL39" s="142" t="n">
        <v>0</v>
      </c>
      <c r="AM39" s="142" t="n">
        <v>1</v>
      </c>
      <c r="AN39" s="142" t="n">
        <v>1</v>
      </c>
      <c r="AO39" s="142" t="n">
        <v>0</v>
      </c>
      <c r="AP39" s="142" t="n">
        <v>0</v>
      </c>
    </row>
    <row r="40" customFormat="false" ht="22.5" hidden="false" customHeight="true" outlineLevel="0" collapsed="false">
      <c r="A40" s="148" t="s">
        <v>194</v>
      </c>
      <c r="B40" s="149" t="s">
        <v>207</v>
      </c>
      <c r="C40" s="142" t="n">
        <v>0</v>
      </c>
      <c r="D40" s="142" t="n">
        <v>0</v>
      </c>
      <c r="E40" s="142" t="n">
        <v>0</v>
      </c>
      <c r="F40" s="142" t="n">
        <v>0</v>
      </c>
      <c r="G40" s="142" t="n">
        <v>2</v>
      </c>
      <c r="H40" s="142" t="n">
        <v>1</v>
      </c>
      <c r="I40" s="142" t="n">
        <v>0</v>
      </c>
      <c r="J40" s="142" t="n">
        <v>0</v>
      </c>
      <c r="K40" s="142" t="n">
        <v>0</v>
      </c>
      <c r="L40" s="142" t="n">
        <v>0</v>
      </c>
      <c r="M40" s="142" t="n">
        <v>1</v>
      </c>
      <c r="N40" s="142" t="n">
        <v>0</v>
      </c>
      <c r="O40" s="142" t="n">
        <v>0</v>
      </c>
      <c r="P40" s="142" t="n">
        <v>0</v>
      </c>
      <c r="Q40" s="142" t="n">
        <v>0</v>
      </c>
      <c r="R40" s="142" t="n">
        <v>2</v>
      </c>
      <c r="S40" s="142" t="n">
        <v>0</v>
      </c>
      <c r="T40" s="142" t="n">
        <v>0</v>
      </c>
      <c r="U40" s="142" t="n">
        <v>2</v>
      </c>
      <c r="V40" s="142" t="n">
        <v>0</v>
      </c>
      <c r="W40" s="142" t="n">
        <v>0</v>
      </c>
      <c r="X40" s="142" t="n">
        <v>0</v>
      </c>
      <c r="Y40" s="142" t="n">
        <v>0</v>
      </c>
      <c r="Z40" s="142" t="n">
        <v>0</v>
      </c>
      <c r="AA40" s="142" t="n">
        <v>0</v>
      </c>
      <c r="AB40" s="142" t="n">
        <v>0</v>
      </c>
      <c r="AC40" s="142" t="n">
        <v>0</v>
      </c>
      <c r="AD40" s="142" t="n">
        <v>1</v>
      </c>
      <c r="AE40" s="142" t="n">
        <v>0</v>
      </c>
      <c r="AF40" s="142" t="n">
        <v>0</v>
      </c>
      <c r="AG40" s="142" t="n">
        <v>0</v>
      </c>
      <c r="AH40" s="142" t="n">
        <v>0</v>
      </c>
      <c r="AI40" s="142" t="n">
        <v>0</v>
      </c>
      <c r="AJ40" s="142" t="n">
        <v>0</v>
      </c>
      <c r="AK40" s="142" t="n">
        <v>0</v>
      </c>
      <c r="AL40" s="142" t="n">
        <v>0</v>
      </c>
      <c r="AM40" s="142" t="n">
        <v>2</v>
      </c>
      <c r="AN40" s="142" t="n">
        <v>1</v>
      </c>
      <c r="AO40" s="142" t="n">
        <v>0</v>
      </c>
      <c r="AP40" s="142" t="n">
        <v>1</v>
      </c>
    </row>
    <row r="41" customFormat="false" ht="15" hidden="false" customHeight="false" outlineLevel="0" collapsed="false">
      <c r="A41" s="148" t="s">
        <v>195</v>
      </c>
      <c r="B41" s="149" t="s">
        <v>208</v>
      </c>
      <c r="C41" s="142" t="n">
        <v>1</v>
      </c>
      <c r="D41" s="142" t="n">
        <v>0</v>
      </c>
      <c r="E41" s="142" t="n">
        <v>1</v>
      </c>
      <c r="F41" s="142" t="n">
        <v>0</v>
      </c>
      <c r="G41" s="142" t="n">
        <v>1</v>
      </c>
      <c r="H41" s="142" t="n">
        <v>2</v>
      </c>
      <c r="I41" s="142" t="n">
        <v>0</v>
      </c>
      <c r="J41" s="142" t="n">
        <v>0</v>
      </c>
      <c r="K41" s="142" t="n">
        <v>0</v>
      </c>
      <c r="L41" s="142" t="n">
        <v>0</v>
      </c>
      <c r="M41" s="142" t="n">
        <v>0</v>
      </c>
      <c r="N41" s="142" t="n">
        <v>0</v>
      </c>
      <c r="O41" s="142" t="n">
        <v>0</v>
      </c>
      <c r="P41" s="142" t="n">
        <v>0</v>
      </c>
      <c r="Q41" s="142" t="n">
        <v>0</v>
      </c>
      <c r="R41" s="142" t="n">
        <v>0</v>
      </c>
      <c r="S41" s="142" t="n">
        <v>0</v>
      </c>
      <c r="T41" s="142" t="n">
        <v>0</v>
      </c>
      <c r="U41" s="142" t="n">
        <v>0</v>
      </c>
      <c r="V41" s="142" t="n">
        <v>0</v>
      </c>
      <c r="W41" s="142" t="n">
        <v>0</v>
      </c>
      <c r="X41" s="142" t="n">
        <v>0</v>
      </c>
      <c r="Y41" s="142" t="n">
        <v>0</v>
      </c>
      <c r="Z41" s="142" t="n">
        <v>0</v>
      </c>
      <c r="AA41" s="142" t="n">
        <v>0</v>
      </c>
      <c r="AB41" s="142" t="n">
        <v>0</v>
      </c>
      <c r="AC41" s="142" t="n">
        <v>0</v>
      </c>
      <c r="AD41" s="142" t="n">
        <v>0</v>
      </c>
      <c r="AE41" s="142" t="n">
        <v>0</v>
      </c>
      <c r="AF41" s="142" t="n">
        <v>0</v>
      </c>
      <c r="AG41" s="142" t="n">
        <v>0</v>
      </c>
      <c r="AH41" s="142" t="n">
        <v>0</v>
      </c>
      <c r="AI41" s="142" t="n">
        <v>0</v>
      </c>
      <c r="AJ41" s="142" t="n">
        <v>0</v>
      </c>
      <c r="AK41" s="142" t="n">
        <v>1</v>
      </c>
      <c r="AL41" s="142" t="n">
        <v>1</v>
      </c>
      <c r="AM41" s="142" t="n">
        <v>1</v>
      </c>
      <c r="AN41" s="142" t="n">
        <v>2</v>
      </c>
      <c r="AO41" s="142" t="n">
        <v>1</v>
      </c>
      <c r="AP41" s="142" t="n">
        <v>2</v>
      </c>
    </row>
    <row r="42" customFormat="false" ht="33.75" hidden="false" customHeight="true" outlineLevel="0" collapsed="false">
      <c r="A42" s="148" t="s">
        <v>196</v>
      </c>
      <c r="B42" s="149" t="s">
        <v>209</v>
      </c>
      <c r="C42" s="142" t="n">
        <v>0</v>
      </c>
      <c r="D42" s="142" t="n">
        <v>0</v>
      </c>
      <c r="E42" s="142" t="n">
        <v>0</v>
      </c>
      <c r="F42" s="142" t="n">
        <v>0</v>
      </c>
      <c r="G42" s="142" t="n">
        <v>0</v>
      </c>
      <c r="H42" s="142" t="n">
        <v>0</v>
      </c>
      <c r="I42" s="142" t="n">
        <v>1</v>
      </c>
      <c r="J42" s="142" t="n">
        <v>0</v>
      </c>
      <c r="K42" s="142" t="n">
        <v>1</v>
      </c>
      <c r="L42" s="142" t="n">
        <v>0</v>
      </c>
      <c r="M42" s="142" t="n">
        <v>0</v>
      </c>
      <c r="N42" s="142" t="n">
        <v>2</v>
      </c>
      <c r="O42" s="142" t="n">
        <v>2</v>
      </c>
      <c r="P42" s="142" t="n">
        <v>0</v>
      </c>
      <c r="Q42" s="142" t="n">
        <v>0</v>
      </c>
      <c r="R42" s="142" t="n">
        <v>0</v>
      </c>
      <c r="S42" s="142" t="n">
        <v>0</v>
      </c>
      <c r="T42" s="142" t="n">
        <v>0</v>
      </c>
      <c r="U42" s="142" t="n">
        <v>0</v>
      </c>
      <c r="V42" s="142" t="n">
        <v>0</v>
      </c>
      <c r="W42" s="142" t="n">
        <v>1</v>
      </c>
      <c r="X42" s="142" t="n">
        <v>0</v>
      </c>
      <c r="Y42" s="142" t="n">
        <v>0</v>
      </c>
      <c r="Z42" s="142" t="n">
        <v>1</v>
      </c>
      <c r="AA42" s="142" t="n">
        <v>0</v>
      </c>
      <c r="AB42" s="142" t="n">
        <v>0</v>
      </c>
      <c r="AC42" s="142" t="n">
        <v>2</v>
      </c>
      <c r="AD42" s="142" t="n">
        <v>0</v>
      </c>
      <c r="AE42" s="142" t="n">
        <v>0</v>
      </c>
      <c r="AF42" s="142" t="n">
        <v>0</v>
      </c>
      <c r="AG42" s="142" t="n">
        <v>0</v>
      </c>
      <c r="AH42" s="142" t="n">
        <v>0</v>
      </c>
      <c r="AI42" s="142" t="n">
        <v>0</v>
      </c>
      <c r="AJ42" s="142" t="n">
        <v>0</v>
      </c>
      <c r="AK42" s="142" t="n">
        <v>0</v>
      </c>
      <c r="AL42" s="142" t="n">
        <v>0</v>
      </c>
      <c r="AM42" s="142" t="n">
        <v>0</v>
      </c>
      <c r="AN42" s="142" t="n">
        <v>0</v>
      </c>
      <c r="AO42" s="142" t="n">
        <v>0</v>
      </c>
      <c r="AP42" s="142" t="n">
        <v>0</v>
      </c>
    </row>
    <row r="43" customFormat="false" ht="22.5" hidden="false" customHeight="true" outlineLevel="0" collapsed="false">
      <c r="A43" s="148" t="s">
        <v>197</v>
      </c>
      <c r="B43" s="149" t="s">
        <v>210</v>
      </c>
      <c r="C43" s="142" t="n">
        <v>0</v>
      </c>
      <c r="D43" s="142" t="n">
        <v>1</v>
      </c>
      <c r="E43" s="142" t="n">
        <v>0</v>
      </c>
      <c r="F43" s="142" t="n">
        <v>0</v>
      </c>
      <c r="G43" s="142" t="n">
        <v>0</v>
      </c>
      <c r="H43" s="142" t="n">
        <v>0</v>
      </c>
      <c r="I43" s="142" t="n">
        <v>1</v>
      </c>
      <c r="J43" s="142" t="n">
        <v>0</v>
      </c>
      <c r="K43" s="142" t="n">
        <v>2</v>
      </c>
      <c r="L43" s="142" t="n">
        <v>0</v>
      </c>
      <c r="M43" s="142" t="n">
        <v>0</v>
      </c>
      <c r="N43" s="142" t="n">
        <v>2</v>
      </c>
      <c r="O43" s="142" t="n">
        <v>2</v>
      </c>
      <c r="P43" s="142" t="n">
        <v>0</v>
      </c>
      <c r="Q43" s="142" t="n">
        <v>0</v>
      </c>
      <c r="R43" s="142" t="n">
        <v>0</v>
      </c>
      <c r="S43" s="142" t="n">
        <v>0</v>
      </c>
      <c r="T43" s="142" t="n">
        <v>0</v>
      </c>
      <c r="U43" s="142" t="n">
        <v>0</v>
      </c>
      <c r="V43" s="142" t="n">
        <v>0</v>
      </c>
      <c r="W43" s="142" t="n">
        <v>0</v>
      </c>
      <c r="X43" s="142" t="n">
        <v>0</v>
      </c>
      <c r="Y43" s="142" t="n">
        <v>0</v>
      </c>
      <c r="Z43" s="142" t="n">
        <v>0</v>
      </c>
      <c r="AA43" s="142" t="n">
        <v>0</v>
      </c>
      <c r="AB43" s="142" t="n">
        <v>0</v>
      </c>
      <c r="AC43" s="142" t="n">
        <v>2</v>
      </c>
      <c r="AD43" s="142" t="n">
        <v>0</v>
      </c>
      <c r="AE43" s="142" t="n">
        <v>0</v>
      </c>
      <c r="AF43" s="142" t="n">
        <v>0</v>
      </c>
      <c r="AG43" s="142" t="n">
        <v>0</v>
      </c>
      <c r="AH43" s="142" t="n">
        <v>0</v>
      </c>
      <c r="AI43" s="142" t="n">
        <v>0</v>
      </c>
      <c r="AJ43" s="142" t="n">
        <v>0</v>
      </c>
      <c r="AK43" s="142" t="n">
        <v>0</v>
      </c>
      <c r="AL43" s="142" t="n">
        <v>0</v>
      </c>
      <c r="AM43" s="142" t="n">
        <v>0</v>
      </c>
      <c r="AN43" s="142" t="n">
        <v>0</v>
      </c>
      <c r="AO43" s="142" t="n">
        <v>0</v>
      </c>
      <c r="AP43" s="142" t="n">
        <v>0</v>
      </c>
    </row>
    <row r="46" customFormat="false" ht="15" hidden="false" customHeight="false" outlineLevel="0" collapsed="false">
      <c r="C46" s="146" t="s">
        <v>113</v>
      </c>
      <c r="D46" s="146" t="s">
        <v>114</v>
      </c>
      <c r="E46" s="146" t="s">
        <v>115</v>
      </c>
      <c r="F46" s="146" t="s">
        <v>116</v>
      </c>
      <c r="G46" s="146" t="s">
        <v>117</v>
      </c>
      <c r="H46" s="146" t="s">
        <v>118</v>
      </c>
      <c r="I46" s="146" t="s">
        <v>119</v>
      </c>
      <c r="J46" s="146" t="s">
        <v>120</v>
      </c>
      <c r="K46" s="146" t="s">
        <v>121</v>
      </c>
      <c r="L46" s="146" t="s">
        <v>122</v>
      </c>
      <c r="M46" s="146" t="s">
        <v>123</v>
      </c>
      <c r="N46" s="146" t="s">
        <v>124</v>
      </c>
      <c r="O46" s="146" t="s">
        <v>125</v>
      </c>
      <c r="P46" s="146" t="s">
        <v>126</v>
      </c>
      <c r="Q46" s="146" t="s">
        <v>127</v>
      </c>
      <c r="R46" s="146" t="s">
        <v>128</v>
      </c>
      <c r="S46" s="146" t="s">
        <v>129</v>
      </c>
      <c r="T46" s="146" t="s">
        <v>130</v>
      </c>
      <c r="U46" s="146" t="s">
        <v>131</v>
      </c>
      <c r="V46" s="146" t="s">
        <v>132</v>
      </c>
      <c r="W46" s="146" t="s">
        <v>133</v>
      </c>
      <c r="X46" s="146" t="s">
        <v>134</v>
      </c>
      <c r="Y46" s="146" t="s">
        <v>135</v>
      </c>
      <c r="Z46" s="146" t="s">
        <v>136</v>
      </c>
      <c r="AA46" s="146" t="s">
        <v>137</v>
      </c>
      <c r="AB46" s="146" t="s">
        <v>138</v>
      </c>
      <c r="AC46" s="146" t="s">
        <v>139</v>
      </c>
      <c r="AD46" s="146" t="s">
        <v>140</v>
      </c>
      <c r="AE46" s="146" t="s">
        <v>141</v>
      </c>
      <c r="AF46" s="146" t="s">
        <v>142</v>
      </c>
      <c r="AG46" s="146" t="s">
        <v>143</v>
      </c>
      <c r="AH46" s="146" t="s">
        <v>144</v>
      </c>
      <c r="AI46" s="146" t="s">
        <v>145</v>
      </c>
      <c r="AJ46" s="146" t="s">
        <v>146</v>
      </c>
      <c r="AK46" s="146" t="s">
        <v>147</v>
      </c>
      <c r="AL46" s="146" t="s">
        <v>148</v>
      </c>
      <c r="AM46" s="146" t="s">
        <v>149</v>
      </c>
      <c r="AN46" s="146" t="s">
        <v>150</v>
      </c>
      <c r="AO46" s="146" t="s">
        <v>151</v>
      </c>
      <c r="AP46" s="146" t="s">
        <v>152</v>
      </c>
    </row>
    <row r="47" customFormat="false" ht="67.5" hidden="false" customHeight="true" outlineLevel="0" collapsed="false">
      <c r="C47" s="147" t="s">
        <v>228</v>
      </c>
      <c r="D47" s="147" t="s">
        <v>229</v>
      </c>
      <c r="E47" s="147" t="s">
        <v>230</v>
      </c>
      <c r="F47" s="147" t="s">
        <v>231</v>
      </c>
      <c r="G47" s="147" t="s">
        <v>232</v>
      </c>
      <c r="H47" s="147" t="s">
        <v>233</v>
      </c>
      <c r="I47" s="147" t="s">
        <v>234</v>
      </c>
      <c r="J47" s="147" t="s">
        <v>235</v>
      </c>
      <c r="K47" s="147" t="s">
        <v>236</v>
      </c>
      <c r="L47" s="147" t="s">
        <v>237</v>
      </c>
      <c r="M47" s="147" t="s">
        <v>238</v>
      </c>
      <c r="N47" s="147" t="s">
        <v>239</v>
      </c>
      <c r="O47" s="147" t="s">
        <v>240</v>
      </c>
      <c r="P47" s="147" t="s">
        <v>241</v>
      </c>
      <c r="Q47" s="147" t="s">
        <v>242</v>
      </c>
      <c r="R47" s="147" t="s">
        <v>243</v>
      </c>
      <c r="S47" s="147" t="s">
        <v>244</v>
      </c>
      <c r="T47" s="147" t="s">
        <v>245</v>
      </c>
      <c r="U47" s="147" t="s">
        <v>246</v>
      </c>
      <c r="V47" s="147" t="s">
        <v>247</v>
      </c>
      <c r="W47" s="147" t="s">
        <v>248</v>
      </c>
      <c r="X47" s="147" t="s">
        <v>249</v>
      </c>
      <c r="Y47" s="147" t="s">
        <v>250</v>
      </c>
      <c r="Z47" s="147" t="s">
        <v>251</v>
      </c>
      <c r="AA47" s="147" t="s">
        <v>252</v>
      </c>
      <c r="AB47" s="147" t="s">
        <v>253</v>
      </c>
      <c r="AC47" s="147" t="s">
        <v>254</v>
      </c>
      <c r="AD47" s="147" t="s">
        <v>255</v>
      </c>
      <c r="AE47" s="147" t="s">
        <v>256</v>
      </c>
      <c r="AF47" s="147" t="s">
        <v>257</v>
      </c>
      <c r="AG47" s="147" t="s">
        <v>258</v>
      </c>
      <c r="AH47" s="147" t="s">
        <v>259</v>
      </c>
      <c r="AI47" s="147" t="s">
        <v>260</v>
      </c>
      <c r="AJ47" s="147" t="s">
        <v>261</v>
      </c>
      <c r="AK47" s="147" t="s">
        <v>262</v>
      </c>
      <c r="AL47" s="147" t="s">
        <v>263</v>
      </c>
      <c r="AM47" s="147" t="s">
        <v>264</v>
      </c>
      <c r="AN47" s="147" t="s">
        <v>265</v>
      </c>
      <c r="AO47" s="147" t="s">
        <v>266</v>
      </c>
      <c r="AP47" s="147" t="s">
        <v>267</v>
      </c>
    </row>
    <row r="48" customFormat="false" ht="15" hidden="false" customHeight="false" outlineLevel="0" collapsed="false">
      <c r="C48" s="151" t="n">
        <f aca="false" t="array" ref="C48:AP48">MMULT(C26:O26,C31:AP43)</f>
        <v>102</v>
      </c>
      <c r="D48" s="151" t="n">
        <v>113</v>
      </c>
      <c r="E48" s="151" t="n">
        <v>76</v>
      </c>
      <c r="F48" s="151" t="n">
        <v>127</v>
      </c>
      <c r="G48" s="151" t="n">
        <v>56</v>
      </c>
      <c r="H48" s="151" t="n">
        <v>185</v>
      </c>
      <c r="I48" s="151" t="n">
        <v>127</v>
      </c>
      <c r="J48" s="151" t="n">
        <v>137</v>
      </c>
      <c r="K48" s="151" t="n">
        <v>114</v>
      </c>
      <c r="L48" s="151" t="n">
        <v>141</v>
      </c>
      <c r="M48" s="151" t="n">
        <v>105</v>
      </c>
      <c r="N48" s="151" t="n">
        <v>100</v>
      </c>
      <c r="O48" s="151" t="n">
        <v>181</v>
      </c>
      <c r="P48" s="151" t="n">
        <v>64</v>
      </c>
      <c r="Q48" s="151" t="n">
        <v>79</v>
      </c>
      <c r="R48" s="151" t="n">
        <v>123</v>
      </c>
      <c r="S48" s="151" t="n">
        <v>48</v>
      </c>
      <c r="T48" s="151" t="n">
        <v>48</v>
      </c>
      <c r="U48" s="151" t="n">
        <v>76</v>
      </c>
      <c r="V48" s="151" t="n">
        <v>126</v>
      </c>
      <c r="W48" s="151" t="n">
        <v>170</v>
      </c>
      <c r="X48" s="151" t="n">
        <v>164</v>
      </c>
      <c r="Y48" s="151" t="n">
        <v>73</v>
      </c>
      <c r="Z48" s="151" t="n">
        <v>177</v>
      </c>
      <c r="AA48" s="151" t="n">
        <v>93</v>
      </c>
      <c r="AB48" s="151" t="n">
        <v>71</v>
      </c>
      <c r="AC48" s="151" t="n">
        <v>125</v>
      </c>
      <c r="AD48" s="151" t="n">
        <v>41</v>
      </c>
      <c r="AE48" s="151" t="n">
        <v>19</v>
      </c>
      <c r="AF48" s="151" t="n">
        <v>137</v>
      </c>
      <c r="AG48" s="151" t="n">
        <v>64</v>
      </c>
      <c r="AH48" s="151" t="n">
        <v>62</v>
      </c>
      <c r="AI48" s="151" t="n">
        <v>62</v>
      </c>
      <c r="AJ48" s="151" t="n">
        <v>62</v>
      </c>
      <c r="AK48" s="151" t="n">
        <v>95</v>
      </c>
      <c r="AL48" s="151" t="n">
        <v>111</v>
      </c>
      <c r="AM48" s="151" t="n">
        <v>133</v>
      </c>
      <c r="AN48" s="151" t="n">
        <v>137</v>
      </c>
      <c r="AO48" s="151" t="n">
        <v>40</v>
      </c>
      <c r="AP48" s="151" t="n">
        <v>114</v>
      </c>
    </row>
    <row r="49" customFormat="false" ht="15" hidden="false" customHeight="false" outlineLevel="0" collapsed="false">
      <c r="B49" s="152" t="s">
        <v>96</v>
      </c>
      <c r="C49" s="152" t="n">
        <v>99</v>
      </c>
      <c r="D49" s="152" t="n">
        <v>114</v>
      </c>
      <c r="E49" s="152" t="n">
        <v>63</v>
      </c>
      <c r="F49" s="152" t="n">
        <v>129</v>
      </c>
      <c r="G49" s="152" t="n">
        <v>63</v>
      </c>
      <c r="H49" s="152" t="n">
        <v>180</v>
      </c>
      <c r="I49" s="152" t="n">
        <v>132</v>
      </c>
      <c r="J49" s="152" t="n">
        <v>135</v>
      </c>
      <c r="K49" s="152" t="n">
        <v>120</v>
      </c>
      <c r="L49" s="152" t="n">
        <v>141</v>
      </c>
      <c r="M49" s="152" t="n">
        <v>117</v>
      </c>
      <c r="N49" s="152" t="n">
        <v>108</v>
      </c>
      <c r="O49" s="152" t="n">
        <v>189</v>
      </c>
      <c r="P49" s="152" t="n">
        <v>63</v>
      </c>
      <c r="Q49" s="152" t="n">
        <v>78</v>
      </c>
      <c r="R49" s="152" t="n">
        <v>132</v>
      </c>
      <c r="S49" s="152" t="n">
        <v>36</v>
      </c>
      <c r="T49" s="152" t="n">
        <v>39</v>
      </c>
      <c r="U49" s="152" t="n">
        <v>78</v>
      </c>
      <c r="V49" s="152" t="n">
        <v>129</v>
      </c>
      <c r="W49" s="152" t="n">
        <v>174</v>
      </c>
      <c r="X49" s="152" t="n">
        <v>165</v>
      </c>
      <c r="Y49" s="152" t="n">
        <v>69</v>
      </c>
      <c r="Z49" s="152" t="n">
        <v>183</v>
      </c>
      <c r="AA49" s="152" t="n">
        <v>90</v>
      </c>
      <c r="AB49" s="152" t="n">
        <v>69</v>
      </c>
      <c r="AC49" s="152" t="n">
        <v>135</v>
      </c>
      <c r="AD49" s="152" t="n">
        <v>51</v>
      </c>
      <c r="AE49" s="152" t="n">
        <v>18</v>
      </c>
      <c r="AF49" s="152" t="n">
        <v>138</v>
      </c>
      <c r="AG49" s="152" t="n">
        <v>63</v>
      </c>
      <c r="AH49" s="152" t="n">
        <v>54</v>
      </c>
      <c r="AI49" s="152" t="n">
        <v>54</v>
      </c>
      <c r="AJ49" s="152" t="n">
        <v>54</v>
      </c>
      <c r="AK49" s="152" t="n">
        <v>81</v>
      </c>
      <c r="AL49" s="152" t="n">
        <v>105</v>
      </c>
      <c r="AM49" s="152" t="n">
        <v>135</v>
      </c>
      <c r="AN49" s="152" t="n">
        <v>135</v>
      </c>
      <c r="AO49" s="152" t="n">
        <v>39</v>
      </c>
      <c r="AP49" s="152" t="n">
        <v>111</v>
      </c>
    </row>
    <row r="50" customFormat="false" ht="15" hidden="false" customHeight="false" outlineLevel="0" collapsed="false">
      <c r="B50" s="152" t="s">
        <v>269</v>
      </c>
      <c r="C50" s="152" t="n">
        <f aca="false">TRUNC(100*C48/C49)-100</f>
        <v>3</v>
      </c>
      <c r="D50" s="152" t="n">
        <f aca="false">TRUNC(100*D48/D49)-100</f>
        <v>-1</v>
      </c>
      <c r="E50" s="152" t="n">
        <f aca="false">TRUNC(100*E48/E49)-100</f>
        <v>20</v>
      </c>
      <c r="F50" s="152" t="n">
        <f aca="false">TRUNC(100*F48/F49)-100</f>
        <v>-2</v>
      </c>
      <c r="G50" s="152" t="n">
        <f aca="false">TRUNC(100*G48/G49)-100</f>
        <v>-12</v>
      </c>
      <c r="H50" s="152" t="n">
        <f aca="false">TRUNC(100*H48/H49)-100</f>
        <v>2</v>
      </c>
      <c r="I50" s="152" t="n">
        <f aca="false">TRUNC(100*I48/I49)-100</f>
        <v>-4</v>
      </c>
      <c r="J50" s="152" t="n">
        <f aca="false">TRUNC(100*J48/J49)-100</f>
        <v>1</v>
      </c>
      <c r="K50" s="152" t="n">
        <f aca="false">TRUNC(100*K48/K49)-100</f>
        <v>-5</v>
      </c>
      <c r="L50" s="152" t="n">
        <f aca="false">TRUNC(100*L48/L49)-100</f>
        <v>0</v>
      </c>
      <c r="M50" s="152" t="n">
        <f aca="false">TRUNC(100*M48/M49)-100</f>
        <v>-11</v>
      </c>
      <c r="N50" s="152" t="n">
        <f aca="false">TRUNC(100*N48/N49)-100</f>
        <v>-8</v>
      </c>
      <c r="O50" s="152" t="n">
        <f aca="false">TRUNC(100*O48/O49)-100</f>
        <v>-5</v>
      </c>
      <c r="P50" s="152" t="n">
        <f aca="false">TRUNC(100*P48/P49)-100</f>
        <v>1</v>
      </c>
      <c r="Q50" s="152" t="n">
        <f aca="false">TRUNC(100*Q48/Q49)-100</f>
        <v>1</v>
      </c>
      <c r="R50" s="152" t="n">
        <f aca="false">TRUNC(100*R48/R49)-100</f>
        <v>-7</v>
      </c>
      <c r="S50" s="152" t="n">
        <f aca="false">TRUNC(100*S48/S49)-100</f>
        <v>33</v>
      </c>
      <c r="T50" s="152" t="n">
        <f aca="false">TRUNC(100*T48/T49)-100</f>
        <v>23</v>
      </c>
      <c r="U50" s="152" t="n">
        <f aca="false">TRUNC(100*U48/U49)-100</f>
        <v>-3</v>
      </c>
      <c r="V50" s="152" t="n">
        <f aca="false">TRUNC(100*V48/V49)-100</f>
        <v>-3</v>
      </c>
      <c r="W50" s="152" t="n">
        <f aca="false">TRUNC(100*W48/W49)-100</f>
        <v>-3</v>
      </c>
      <c r="X50" s="152" t="n">
        <f aca="false">TRUNC(100*X48/X49)-100</f>
        <v>-1</v>
      </c>
      <c r="Y50" s="152" t="n">
        <f aca="false">TRUNC(100*Y48/Y49)-100</f>
        <v>5</v>
      </c>
      <c r="Z50" s="152" t="n">
        <f aca="false">TRUNC(100*Z48/Z49)-100</f>
        <v>-4</v>
      </c>
      <c r="AA50" s="152" t="n">
        <f aca="false">TRUNC(100*AA48/AA49)-100</f>
        <v>3</v>
      </c>
      <c r="AB50" s="152" t="n">
        <f aca="false">TRUNC(100*AB48/AB49)-100</f>
        <v>2</v>
      </c>
      <c r="AC50" s="152" t="n">
        <f aca="false">TRUNC(100*AC48/AC49)-100</f>
        <v>-8</v>
      </c>
      <c r="AD50" s="152" t="n">
        <f aca="false">TRUNC(100*AD48/AD49)-100</f>
        <v>-20</v>
      </c>
      <c r="AE50" s="152" t="n">
        <f aca="false">TRUNC(100*AE48/AE49)-100</f>
        <v>5</v>
      </c>
      <c r="AF50" s="152" t="n">
        <f aca="false">TRUNC(100*AF48/AF49)-100</f>
        <v>-1</v>
      </c>
      <c r="AG50" s="152" t="n">
        <f aca="false">TRUNC(100*AG48/AG49)-100</f>
        <v>1</v>
      </c>
      <c r="AH50" s="152" t="n">
        <f aca="false">TRUNC(100*AH48/AH49)-100</f>
        <v>14</v>
      </c>
      <c r="AI50" s="152" t="n">
        <f aca="false">TRUNC(100*AI48/AI49)-100</f>
        <v>14</v>
      </c>
      <c r="AJ50" s="152" t="n">
        <f aca="false">TRUNC(100*AJ48/AJ49)-100</f>
        <v>14</v>
      </c>
      <c r="AK50" s="152" t="n">
        <f aca="false">TRUNC(100*AK48/AK49)-100</f>
        <v>17</v>
      </c>
      <c r="AL50" s="152" t="n">
        <f aca="false">TRUNC(100*AL48/AL49)-100</f>
        <v>5</v>
      </c>
      <c r="AM50" s="152" t="n">
        <f aca="false">TRUNC(100*AM48/AM49)-100</f>
        <v>-2</v>
      </c>
      <c r="AN50" s="152" t="n">
        <f aca="false">TRUNC(100*AN48/AN49)-100</f>
        <v>1</v>
      </c>
      <c r="AO50" s="152" t="n">
        <f aca="false">TRUNC(100*AO48/AO49)-100</f>
        <v>2</v>
      </c>
      <c r="AP50" s="152" t="n">
        <f aca="false">TRUNC(100*AP48/AP49)-100</f>
        <v>2</v>
      </c>
    </row>
  </sheetData>
  <sheetProtection sheet="true" objects="true" scenarios="true"/>
  <mergeCells count="2">
    <mergeCell ref="A7:B8"/>
    <mergeCell ref="A29:B30"/>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V7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A10" activeCellId="0" sqref="A10"/>
    </sheetView>
  </sheetViews>
  <sheetFormatPr defaultColWidth="8.859375" defaultRowHeight="15" zeroHeight="false" outlineLevelRow="0" outlineLevelCol="0"/>
  <cols>
    <col collapsed="false" customWidth="true" hidden="false" outlineLevel="0" max="1" min="1" style="0" width="12.29"/>
    <col collapsed="false" customWidth="true" hidden="false" outlineLevel="0" max="2" min="2" style="0" width="7.29"/>
    <col collapsed="false" customWidth="true" hidden="false" outlineLevel="0" max="3" min="3" style="0" width="8.42"/>
    <col collapsed="false" customWidth="true" hidden="false" outlineLevel="0" max="4" min="4" style="0" width="10"/>
    <col collapsed="false" customWidth="true" hidden="false" outlineLevel="0" max="5" min="5" style="0" width="9"/>
    <col collapsed="false" customWidth="true" hidden="false" outlineLevel="0" max="6" min="6" style="0" width="9.86"/>
    <col collapsed="false" customWidth="true" hidden="false" outlineLevel="0" max="7" min="7" style="0" width="9"/>
    <col collapsed="false" customWidth="true" hidden="false" outlineLevel="0" max="8" min="8" style="0" width="8.71"/>
    <col collapsed="false" customWidth="true" hidden="false" outlineLevel="0" max="9" min="9" style="0" width="2.42"/>
    <col collapsed="false" customWidth="true" hidden="false" outlineLevel="0" max="10" min="10" style="0" width="7.86"/>
    <col collapsed="false" customWidth="true" hidden="false" outlineLevel="0" max="11" min="11" style="0" width="12.29"/>
  </cols>
  <sheetData>
    <row r="1" s="25" customFormat="true" ht="36.75" hidden="false" customHeight="true" outlineLevel="0" collapsed="false">
      <c r="A1" s="79" t="s">
        <v>270</v>
      </c>
      <c r="B1" s="79"/>
      <c r="C1" s="79"/>
      <c r="D1" s="79"/>
      <c r="E1" s="79"/>
      <c r="F1" s="79"/>
      <c r="G1" s="79"/>
      <c r="H1" s="79"/>
      <c r="I1" s="79"/>
      <c r="J1" s="79"/>
      <c r="K1" s="79"/>
      <c r="L1" s="79" t="s">
        <v>270</v>
      </c>
      <c r="M1" s="79"/>
      <c r="N1" s="79"/>
      <c r="O1" s="79"/>
      <c r="P1" s="79"/>
      <c r="Q1" s="79"/>
      <c r="R1" s="79"/>
      <c r="S1" s="79"/>
      <c r="T1" s="79"/>
      <c r="U1" s="79"/>
      <c r="V1" s="79"/>
    </row>
    <row r="2" customFormat="false" ht="9" hidden="false" customHeight="true" outlineLevel="0" collapsed="false"/>
    <row r="3" s="25" customFormat="true" ht="26.25" hidden="false" customHeight="true" outlineLevel="0" collapsed="false">
      <c r="A3" s="153" t="s">
        <v>271</v>
      </c>
      <c r="B3" s="153"/>
      <c r="C3" s="153"/>
      <c r="D3" s="153"/>
      <c r="E3" s="153"/>
      <c r="F3" s="153"/>
      <c r="G3" s="153"/>
      <c r="H3" s="153"/>
      <c r="I3" s="153"/>
      <c r="J3" s="153"/>
      <c r="K3" s="153"/>
      <c r="L3" s="153"/>
      <c r="M3" s="153" t="s">
        <v>271</v>
      </c>
      <c r="N3" s="153"/>
      <c r="O3" s="153"/>
      <c r="P3" s="153"/>
      <c r="Q3" s="153"/>
      <c r="R3" s="153"/>
      <c r="S3" s="153"/>
      <c r="T3" s="153"/>
      <c r="U3" s="153"/>
      <c r="V3" s="153"/>
    </row>
    <row r="4" customFormat="false" ht="19.5" hidden="false" customHeight="true" outlineLevel="0" collapsed="false"/>
    <row r="5" s="154" customFormat="true" ht="28.5" hidden="false" customHeight="true" outlineLevel="0" collapsed="false">
      <c r="A5" s="118" t="s">
        <v>272</v>
      </c>
      <c r="B5" s="118"/>
      <c r="C5" s="118"/>
      <c r="D5" s="118"/>
      <c r="E5" s="87" t="s">
        <v>273</v>
      </c>
      <c r="F5" s="87" t="s">
        <v>274</v>
      </c>
      <c r="G5" s="87" t="s">
        <v>275</v>
      </c>
      <c r="H5" s="87" t="s">
        <v>96</v>
      </c>
    </row>
    <row r="6" s="25" customFormat="true" ht="31.5" hidden="false" customHeight="true" outlineLevel="0" collapsed="false">
      <c r="A6" s="155" t="s">
        <v>276</v>
      </c>
      <c r="B6" s="155"/>
      <c r="C6" s="155"/>
      <c r="D6" s="155"/>
      <c r="E6" s="156" t="n">
        <v>5</v>
      </c>
      <c r="F6" s="156" t="n">
        <v>4</v>
      </c>
      <c r="G6" s="157" t="n">
        <f aca="false">E6*F6</f>
        <v>20</v>
      </c>
      <c r="H6" s="158" t="n">
        <v>9</v>
      </c>
      <c r="I6" s="159"/>
      <c r="J6" s="157" t="n">
        <v>16</v>
      </c>
      <c r="K6" s="141" t="s">
        <v>277</v>
      </c>
    </row>
    <row r="7" s="25" customFormat="true" ht="26.25" hidden="false" customHeight="true" outlineLevel="0" collapsed="false">
      <c r="A7" s="155" t="s">
        <v>278</v>
      </c>
      <c r="B7" s="155"/>
      <c r="C7" s="155"/>
      <c r="D7" s="155"/>
      <c r="E7" s="156" t="n">
        <v>5</v>
      </c>
      <c r="F7" s="156" t="n">
        <v>4</v>
      </c>
      <c r="G7" s="157" t="n">
        <f aca="false">E7*F7</f>
        <v>20</v>
      </c>
      <c r="H7" s="158" t="n">
        <v>9</v>
      </c>
      <c r="I7" s="159"/>
      <c r="J7" s="157" t="n">
        <v>12</v>
      </c>
      <c r="K7" s="141" t="s">
        <v>279</v>
      </c>
    </row>
    <row r="8" s="25" customFormat="true" ht="16.5" hidden="false" customHeight="true" outlineLevel="0" collapsed="false">
      <c r="A8" s="155" t="s">
        <v>280</v>
      </c>
      <c r="B8" s="155"/>
      <c r="C8" s="155"/>
      <c r="D8" s="155"/>
      <c r="E8" s="156" t="n">
        <v>3</v>
      </c>
      <c r="F8" s="156" t="n">
        <v>3</v>
      </c>
      <c r="G8" s="157" t="n">
        <f aca="false">E8*F8</f>
        <v>9</v>
      </c>
      <c r="H8" s="158" t="n">
        <v>9</v>
      </c>
      <c r="I8" s="159"/>
      <c r="J8" s="157" t="n">
        <v>6</v>
      </c>
      <c r="K8" s="141" t="s">
        <v>281</v>
      </c>
    </row>
    <row r="9" s="25" customFormat="true" ht="16.5" hidden="false" customHeight="true" outlineLevel="0" collapsed="false">
      <c r="A9" s="155" t="s">
        <v>282</v>
      </c>
      <c r="B9" s="155"/>
      <c r="C9" s="155"/>
      <c r="D9" s="155"/>
      <c r="E9" s="156" t="n">
        <v>5</v>
      </c>
      <c r="F9" s="156" t="n">
        <v>4</v>
      </c>
      <c r="G9" s="157" t="n">
        <f aca="false">E9*F9</f>
        <v>20</v>
      </c>
      <c r="H9" s="158" t="n">
        <v>9</v>
      </c>
      <c r="I9" s="159"/>
      <c r="J9" s="157" t="n">
        <v>0</v>
      </c>
      <c r="K9" s="141" t="s">
        <v>283</v>
      </c>
    </row>
    <row r="10" s="25" customFormat="true" ht="16.5" hidden="false" customHeight="true" outlineLevel="0" collapsed="false">
      <c r="A10" s="155" t="s">
        <v>284</v>
      </c>
      <c r="B10" s="155"/>
      <c r="C10" s="155"/>
      <c r="D10" s="155"/>
      <c r="E10" s="156" t="n">
        <v>5</v>
      </c>
      <c r="F10" s="156" t="n">
        <v>4</v>
      </c>
      <c r="G10" s="157" t="n">
        <f aca="false">E10*F10</f>
        <v>20</v>
      </c>
      <c r="H10" s="158" t="n">
        <v>9</v>
      </c>
      <c r="I10" s="159"/>
      <c r="J10" s="160"/>
      <c r="K10" s="160"/>
    </row>
    <row r="11" s="25" customFormat="true" ht="16.5" hidden="false" customHeight="true" outlineLevel="0" collapsed="false">
      <c r="A11" s="155" t="s">
        <v>285</v>
      </c>
      <c r="B11" s="155"/>
      <c r="C11" s="155"/>
      <c r="D11" s="155"/>
      <c r="E11" s="156" t="n">
        <v>5</v>
      </c>
      <c r="F11" s="156" t="n">
        <v>4</v>
      </c>
      <c r="G11" s="157" t="n">
        <f aca="false">E11*F11</f>
        <v>20</v>
      </c>
      <c r="H11" s="158" t="n">
        <v>9</v>
      </c>
      <c r="I11" s="159"/>
      <c r="J11" s="160"/>
      <c r="K11" s="160"/>
    </row>
    <row r="12" s="25" customFormat="true" ht="16.5" hidden="false" customHeight="true" outlineLevel="0" collapsed="false">
      <c r="A12" s="155" t="s">
        <v>286</v>
      </c>
      <c r="B12" s="155"/>
      <c r="C12" s="155"/>
      <c r="D12" s="155"/>
      <c r="E12" s="156" t="n">
        <v>5</v>
      </c>
      <c r="F12" s="156" t="n">
        <v>5</v>
      </c>
      <c r="G12" s="157" t="n">
        <f aca="false">E12*F12</f>
        <v>25</v>
      </c>
      <c r="H12" s="158" t="n">
        <v>9</v>
      </c>
      <c r="I12" s="159"/>
      <c r="J12" s="160"/>
      <c r="K12" s="160"/>
    </row>
    <row r="13" s="25" customFormat="true" ht="16.5" hidden="false" customHeight="true" outlineLevel="0" collapsed="false">
      <c r="A13" s="155" t="s">
        <v>287</v>
      </c>
      <c r="B13" s="155"/>
      <c r="C13" s="155"/>
      <c r="D13" s="155"/>
      <c r="E13" s="156" t="n">
        <v>4</v>
      </c>
      <c r="F13" s="156" t="n">
        <v>4</v>
      </c>
      <c r="G13" s="157" t="n">
        <f aca="false">E13*F13</f>
        <v>16</v>
      </c>
      <c r="H13" s="158" t="n">
        <v>9</v>
      </c>
      <c r="I13" s="159"/>
      <c r="J13" s="160"/>
      <c r="K13" s="160"/>
    </row>
    <row r="14" s="25" customFormat="true" ht="16.5" hidden="false" customHeight="true" outlineLevel="0" collapsed="false">
      <c r="A14" s="155" t="s">
        <v>288</v>
      </c>
      <c r="B14" s="155"/>
      <c r="C14" s="155"/>
      <c r="D14" s="155"/>
      <c r="E14" s="156" t="n">
        <v>4</v>
      </c>
      <c r="F14" s="156" t="n">
        <v>3</v>
      </c>
      <c r="G14" s="157" t="n">
        <f aca="false">E14*F14</f>
        <v>12</v>
      </c>
      <c r="H14" s="158" t="n">
        <v>9</v>
      </c>
      <c r="I14" s="159"/>
      <c r="J14" s="160"/>
      <c r="K14" s="160"/>
    </row>
    <row r="15" s="25" customFormat="true" ht="16.5" hidden="false" customHeight="true" outlineLevel="0" collapsed="false">
      <c r="A15" s="155" t="s">
        <v>289</v>
      </c>
      <c r="B15" s="155"/>
      <c r="C15" s="155"/>
      <c r="D15" s="155"/>
      <c r="E15" s="156" t="n">
        <v>5</v>
      </c>
      <c r="F15" s="156" t="n">
        <v>4</v>
      </c>
      <c r="G15" s="157" t="n">
        <f aca="false">E15*F15</f>
        <v>20</v>
      </c>
      <c r="H15" s="158" t="n">
        <v>9</v>
      </c>
      <c r="I15" s="159"/>
      <c r="J15" s="160"/>
      <c r="K15" s="160"/>
    </row>
    <row r="16" s="25" customFormat="true" ht="16.5" hidden="false" customHeight="true" outlineLevel="0" collapsed="false">
      <c r="A16" s="155" t="s">
        <v>290</v>
      </c>
      <c r="B16" s="155"/>
      <c r="C16" s="155"/>
      <c r="D16" s="155"/>
      <c r="E16" s="156" t="n">
        <v>5</v>
      </c>
      <c r="F16" s="156" t="n">
        <v>5</v>
      </c>
      <c r="G16" s="157" t="n">
        <f aca="false">E16*F16</f>
        <v>25</v>
      </c>
      <c r="H16" s="158" t="n">
        <v>9</v>
      </c>
      <c r="I16" s="159"/>
      <c r="J16" s="160"/>
      <c r="K16" s="160"/>
    </row>
    <row r="17" s="25" customFormat="true" ht="16.5" hidden="false" customHeight="true" outlineLevel="0" collapsed="false">
      <c r="A17" s="155" t="s">
        <v>291</v>
      </c>
      <c r="B17" s="155"/>
      <c r="C17" s="155"/>
      <c r="D17" s="155"/>
      <c r="E17" s="156" t="n">
        <v>4</v>
      </c>
      <c r="F17" s="156" t="n">
        <v>4</v>
      </c>
      <c r="G17" s="157" t="n">
        <f aca="false">E17*F17</f>
        <v>16</v>
      </c>
      <c r="H17" s="158" t="n">
        <v>9</v>
      </c>
      <c r="I17" s="159"/>
      <c r="J17" s="160"/>
      <c r="K17" s="160"/>
    </row>
    <row r="18" s="25" customFormat="true" ht="16.5" hidden="false" customHeight="true" outlineLevel="0" collapsed="false">
      <c r="A18" s="155" t="s">
        <v>292</v>
      </c>
      <c r="B18" s="155"/>
      <c r="C18" s="155"/>
      <c r="D18" s="155"/>
      <c r="E18" s="156" t="n">
        <v>5</v>
      </c>
      <c r="F18" s="156" t="n">
        <v>4</v>
      </c>
      <c r="G18" s="157" t="n">
        <f aca="false">E18*F18</f>
        <v>20</v>
      </c>
      <c r="H18" s="158" t="n">
        <v>9</v>
      </c>
      <c r="I18" s="159"/>
      <c r="J18" s="160"/>
      <c r="K18" s="160"/>
    </row>
    <row r="19" s="25" customFormat="true" ht="16.5" hidden="false" customHeight="true" outlineLevel="0" collapsed="false">
      <c r="A19" s="155" t="s">
        <v>293</v>
      </c>
      <c r="B19" s="155"/>
      <c r="C19" s="155"/>
      <c r="D19" s="155"/>
      <c r="E19" s="156" t="n">
        <v>3</v>
      </c>
      <c r="F19" s="156" t="n">
        <v>2</v>
      </c>
      <c r="G19" s="157" t="n">
        <f aca="false">E19*F19</f>
        <v>6</v>
      </c>
      <c r="H19" s="158" t="n">
        <v>9</v>
      </c>
      <c r="I19" s="159"/>
      <c r="J19" s="160"/>
      <c r="K19" s="160"/>
    </row>
    <row r="20" s="25" customFormat="true" ht="16.5" hidden="false" customHeight="true" outlineLevel="0" collapsed="false">
      <c r="A20" s="155" t="s">
        <v>294</v>
      </c>
      <c r="B20" s="155"/>
      <c r="C20" s="155"/>
      <c r="D20" s="155"/>
      <c r="E20" s="156" t="n">
        <v>2</v>
      </c>
      <c r="F20" s="156" t="n">
        <v>2</v>
      </c>
      <c r="G20" s="157" t="n">
        <f aca="false">E20*F20</f>
        <v>4</v>
      </c>
      <c r="H20" s="158" t="n">
        <v>9</v>
      </c>
      <c r="I20" s="159"/>
      <c r="J20" s="160"/>
      <c r="K20" s="160"/>
    </row>
    <row r="21" s="25" customFormat="true" ht="16.5" hidden="false" customHeight="true" outlineLevel="0" collapsed="false">
      <c r="A21" s="155" t="s">
        <v>295</v>
      </c>
      <c r="B21" s="155"/>
      <c r="C21" s="155"/>
      <c r="D21" s="155"/>
      <c r="E21" s="156" t="n">
        <v>4</v>
      </c>
      <c r="F21" s="156" t="n">
        <v>2</v>
      </c>
      <c r="G21" s="157" t="n">
        <f aca="false">E21*F21</f>
        <v>8</v>
      </c>
      <c r="H21" s="158" t="n">
        <v>9</v>
      </c>
      <c r="I21" s="159"/>
      <c r="J21" s="160"/>
      <c r="K21" s="160"/>
    </row>
    <row r="22" s="25" customFormat="true" ht="16.5" hidden="false" customHeight="true" outlineLevel="0" collapsed="false">
      <c r="A22" s="155" t="s">
        <v>296</v>
      </c>
      <c r="B22" s="155"/>
      <c r="C22" s="155"/>
      <c r="D22" s="155"/>
      <c r="E22" s="156" t="n">
        <v>5</v>
      </c>
      <c r="F22" s="156" t="n">
        <v>4</v>
      </c>
      <c r="G22" s="157" t="n">
        <f aca="false">E22*F22</f>
        <v>20</v>
      </c>
      <c r="H22" s="158" t="n">
        <v>9</v>
      </c>
      <c r="I22" s="159"/>
      <c r="J22" s="160"/>
      <c r="K22" s="160"/>
    </row>
    <row r="23" s="25" customFormat="true" ht="16.5" hidden="false" customHeight="true" outlineLevel="0" collapsed="false">
      <c r="A23" s="155" t="s">
        <v>297</v>
      </c>
      <c r="B23" s="155"/>
      <c r="C23" s="155"/>
      <c r="D23" s="155"/>
      <c r="E23" s="156" t="n">
        <v>3</v>
      </c>
      <c r="F23" s="156" t="n">
        <v>2</v>
      </c>
      <c r="G23" s="157" t="n">
        <f aca="false">E23*F23</f>
        <v>6</v>
      </c>
      <c r="H23" s="158" t="n">
        <v>9</v>
      </c>
      <c r="I23" s="160"/>
      <c r="J23" s="160"/>
      <c r="K23" s="160"/>
    </row>
    <row r="24" s="25" customFormat="true" ht="16.5" hidden="false" customHeight="true" outlineLevel="0" collapsed="false">
      <c r="A24" s="155" t="s">
        <v>298</v>
      </c>
      <c r="B24" s="155"/>
      <c r="C24" s="155"/>
      <c r="D24" s="155"/>
      <c r="E24" s="156" t="n">
        <v>5</v>
      </c>
      <c r="F24" s="156" t="n">
        <v>5</v>
      </c>
      <c r="G24" s="157" t="n">
        <f aca="false">E24*F24</f>
        <v>25</v>
      </c>
      <c r="H24" s="158" t="n">
        <v>9</v>
      </c>
      <c r="I24" s="160"/>
      <c r="J24" s="160"/>
      <c r="K24" s="160"/>
    </row>
    <row r="25" customFormat="false" ht="15.75" hidden="false" customHeight="true" outlineLevel="0" collapsed="false">
      <c r="D25" s="39"/>
      <c r="E25" s="39"/>
    </row>
    <row r="26" s="95" customFormat="true" ht="12.75" hidden="false" customHeight="true" outlineLevel="0" collapsed="false">
      <c r="A26" s="161" t="s">
        <v>101</v>
      </c>
      <c r="B26" s="161"/>
      <c r="C26" s="161"/>
      <c r="D26" s="161"/>
      <c r="E26" s="161"/>
      <c r="F26" s="161"/>
      <c r="G26" s="98" t="n">
        <f aca="false">AVERAGE(G6:G24)</f>
        <v>16.421052631579</v>
      </c>
    </row>
    <row r="27" s="95" customFormat="true" ht="15" hidden="false" customHeight="false" outlineLevel="0" collapsed="false">
      <c r="A27" s="161" t="s">
        <v>102</v>
      </c>
      <c r="B27" s="161"/>
      <c r="C27" s="161"/>
      <c r="D27" s="161"/>
      <c r="E27" s="161"/>
      <c r="F27" s="161"/>
      <c r="G27" s="98" t="n">
        <f aca="false">STDEVP(G6:G24)</f>
        <v>6.65159885388614</v>
      </c>
    </row>
    <row r="28" s="95" customFormat="true" ht="15" hidden="false" customHeight="false" outlineLevel="0" collapsed="false">
      <c r="A28" s="161" t="s">
        <v>103</v>
      </c>
      <c r="B28" s="161"/>
      <c r="C28" s="161"/>
      <c r="D28" s="161"/>
      <c r="E28" s="161"/>
      <c r="F28" s="161"/>
      <c r="G28" s="98" t="n">
        <f aca="false">AVERAGE(H6:H24)/G26</f>
        <v>0.548076923076923</v>
      </c>
    </row>
    <row r="29" s="95" customFormat="true" ht="12.75" hidden="false" customHeight="true" outlineLevel="0" collapsed="false">
      <c r="D29" s="126"/>
      <c r="G29" s="127"/>
    </row>
    <row r="30" s="95" customFormat="true" ht="15" hidden="false" customHeight="false" outlineLevel="0" collapsed="false">
      <c r="D30" s="126"/>
      <c r="G30" s="127"/>
    </row>
    <row r="31" s="84" customFormat="true" ht="24" hidden="false" customHeight="true" outlineLevel="0" collapsed="false">
      <c r="A31" s="99" t="s">
        <v>104</v>
      </c>
      <c r="B31" s="99"/>
      <c r="C31" s="99"/>
      <c r="D31" s="99"/>
      <c r="E31" s="99"/>
      <c r="F31" s="99"/>
      <c r="G31" s="99"/>
      <c r="H31" s="99"/>
      <c r="I31" s="99"/>
      <c r="J31" s="99"/>
      <c r="K31" s="99"/>
      <c r="L31" s="99" t="s">
        <v>104</v>
      </c>
      <c r="M31" s="99"/>
      <c r="N31" s="99"/>
      <c r="O31" s="99"/>
      <c r="P31" s="99"/>
      <c r="Q31" s="99"/>
      <c r="R31" s="99"/>
      <c r="S31" s="99"/>
      <c r="T31" s="99"/>
      <c r="U31" s="99"/>
      <c r="V31" s="99"/>
    </row>
    <row r="32" customFormat="false" ht="9" hidden="false" customHeight="true" outlineLevel="0" collapsed="false"/>
    <row r="33" s="84" customFormat="true" ht="27.75" hidden="false" customHeight="true" outlineLevel="0" collapsed="false">
      <c r="A33" s="128" t="s">
        <v>105</v>
      </c>
      <c r="B33" s="128"/>
      <c r="C33" s="128"/>
      <c r="D33" s="128"/>
    </row>
    <row r="34" s="84" customFormat="true" ht="45" hidden="false" customHeight="true" outlineLevel="0" collapsed="false">
      <c r="A34" s="104" t="s">
        <v>106</v>
      </c>
      <c r="B34" s="105" t="s">
        <v>107</v>
      </c>
      <c r="C34" s="105" t="s">
        <v>108</v>
      </c>
      <c r="D34" s="105" t="s">
        <v>109</v>
      </c>
    </row>
    <row r="35" customFormat="false" ht="15" hidden="false" customHeight="false" outlineLevel="0" collapsed="false">
      <c r="A35" s="129" t="s">
        <v>113</v>
      </c>
      <c r="B35" s="130" t="n">
        <f aca="false" t="array" ref="B35:B74">MMULT(DF3map!B3:T42,DF3!G6:G24)</f>
        <v>351</v>
      </c>
      <c r="C35" s="131" t="n">
        <f aca="false" t="array" ref="C35:C74">MMULT(DF3map!B3:T42,DF3!H6:H24)</f>
        <v>189</v>
      </c>
      <c r="D35" s="162" t="n">
        <f aca="false">IFERROR(MROUND(($G$28*100*B35/C35),5)-100,0)</f>
        <v>0</v>
      </c>
    </row>
    <row r="36" customFormat="false" ht="15" hidden="false" customHeight="false" outlineLevel="0" collapsed="false">
      <c r="A36" s="129" t="s">
        <v>114</v>
      </c>
      <c r="B36" s="130" t="n">
        <v>301</v>
      </c>
      <c r="C36" s="131" t="n">
        <v>135</v>
      </c>
      <c r="D36" s="162" t="n">
        <f aca="false">IFERROR(MROUND(($G$28*100*B36/C36),5)-100,0)</f>
        <v>20</v>
      </c>
      <c r="H36" s="36"/>
    </row>
    <row r="37" customFormat="false" ht="15" hidden="false" customHeight="false" outlineLevel="0" collapsed="false">
      <c r="A37" s="129" t="s">
        <v>115</v>
      </c>
      <c r="B37" s="130" t="n">
        <v>315</v>
      </c>
      <c r="C37" s="131" t="n">
        <v>162</v>
      </c>
      <c r="D37" s="162" t="n">
        <f aca="false">IFERROR(MROUND(($G$28*100*B37/C37),5)-100,0)</f>
        <v>5</v>
      </c>
    </row>
    <row r="38" customFormat="false" ht="15" hidden="false" customHeight="false" outlineLevel="0" collapsed="false">
      <c r="A38" s="129" t="s">
        <v>116</v>
      </c>
      <c r="B38" s="130" t="n">
        <v>343</v>
      </c>
      <c r="C38" s="131" t="n">
        <v>198</v>
      </c>
      <c r="D38" s="162" t="n">
        <f aca="false">IFERROR(MROUND(($G$28*100*B38/C38),5)-100,0)</f>
        <v>-5</v>
      </c>
    </row>
    <row r="39" customFormat="false" ht="15" hidden="false" customHeight="false" outlineLevel="0" collapsed="false">
      <c r="A39" s="129" t="s">
        <v>117</v>
      </c>
      <c r="B39" s="130" t="n">
        <v>333</v>
      </c>
      <c r="C39" s="131" t="n">
        <v>189</v>
      </c>
      <c r="D39" s="162" t="n">
        <f aca="false">IFERROR(MROUND(($G$28*100*B39/C39),5)-100,0)</f>
        <v>-5</v>
      </c>
    </row>
    <row r="40" customFormat="false" ht="15" hidden="false" customHeight="false" outlineLevel="0" collapsed="false">
      <c r="A40" s="133" t="s">
        <v>118</v>
      </c>
      <c r="B40" s="130" t="n">
        <v>700</v>
      </c>
      <c r="C40" s="131" t="n">
        <v>324</v>
      </c>
      <c r="D40" s="162" t="n">
        <f aca="false">IFERROR(MROUND(($G$28*100*B40/C40),5)-100,0)</f>
        <v>20</v>
      </c>
    </row>
    <row r="41" customFormat="false" ht="15" hidden="false" customHeight="false" outlineLevel="0" collapsed="false">
      <c r="A41" s="133" t="s">
        <v>119</v>
      </c>
      <c r="B41" s="130" t="n">
        <v>278</v>
      </c>
      <c r="C41" s="131" t="n">
        <v>144</v>
      </c>
      <c r="D41" s="162" t="n">
        <f aca="false">IFERROR(MROUND(($G$28*100*B41/C41),5)-100,0)</f>
        <v>5</v>
      </c>
    </row>
    <row r="42" customFormat="false" ht="15" hidden="false" customHeight="false" outlineLevel="0" collapsed="false">
      <c r="A42" s="133" t="s">
        <v>120</v>
      </c>
      <c r="B42" s="130" t="n">
        <v>389</v>
      </c>
      <c r="C42" s="131" t="n">
        <v>171</v>
      </c>
      <c r="D42" s="162" t="n">
        <f aca="false">IFERROR(MROUND(($G$28*100*B42/C42),5)-100,0)</f>
        <v>25</v>
      </c>
    </row>
    <row r="43" customFormat="false" ht="15" hidden="false" customHeight="false" outlineLevel="0" collapsed="false">
      <c r="A43" s="133" t="s">
        <v>121</v>
      </c>
      <c r="B43" s="130" t="n">
        <v>100</v>
      </c>
      <c r="C43" s="131" t="n">
        <v>45</v>
      </c>
      <c r="D43" s="162" t="n">
        <f aca="false">IFERROR(MROUND(($G$28*100*B43/C43),5)-100,0)</f>
        <v>20</v>
      </c>
    </row>
    <row r="44" customFormat="false" ht="15" hidden="false" customHeight="false" outlineLevel="0" collapsed="false">
      <c r="A44" s="133" t="s">
        <v>122</v>
      </c>
      <c r="B44" s="130" t="n">
        <v>274</v>
      </c>
      <c r="C44" s="131" t="n">
        <v>144</v>
      </c>
      <c r="D44" s="162" t="n">
        <f aca="false">IFERROR(MROUND(($G$28*100*B44/C44),5)-100,0)</f>
        <v>5</v>
      </c>
    </row>
    <row r="45" customFormat="false" ht="15" hidden="false" customHeight="false" outlineLevel="0" collapsed="false">
      <c r="A45" s="133" t="s">
        <v>123</v>
      </c>
      <c r="B45" s="130" t="n">
        <v>232</v>
      </c>
      <c r="C45" s="131" t="n">
        <v>153</v>
      </c>
      <c r="D45" s="162" t="n">
        <f aca="false">IFERROR(MROUND(($G$28*100*B45/C45),5)-100,0)</f>
        <v>-15</v>
      </c>
    </row>
    <row r="46" customFormat="false" ht="15" hidden="false" customHeight="false" outlineLevel="0" collapsed="false">
      <c r="A46" s="133" t="s">
        <v>124</v>
      </c>
      <c r="B46" s="130" t="n">
        <v>373</v>
      </c>
      <c r="C46" s="131" t="n">
        <v>216</v>
      </c>
      <c r="D46" s="162" t="n">
        <f aca="false">IFERROR(MROUND(($G$28*100*B46/C46),5)-100,0)</f>
        <v>-5</v>
      </c>
    </row>
    <row r="47" customFormat="false" ht="15" hidden="false" customHeight="false" outlineLevel="0" collapsed="false">
      <c r="A47" s="133" t="s">
        <v>125</v>
      </c>
      <c r="B47" s="130" t="n">
        <v>336</v>
      </c>
      <c r="C47" s="131" t="n">
        <v>153</v>
      </c>
      <c r="D47" s="162" t="n">
        <f aca="false">IFERROR(MROUND(($G$28*100*B47/C47),5)-100,0)</f>
        <v>20</v>
      </c>
    </row>
    <row r="48" customFormat="false" ht="15" hidden="false" customHeight="false" outlineLevel="0" collapsed="false">
      <c r="A48" s="133" t="s">
        <v>126</v>
      </c>
      <c r="B48" s="130" t="n">
        <v>234</v>
      </c>
      <c r="C48" s="131" t="n">
        <v>117</v>
      </c>
      <c r="D48" s="162" t="n">
        <f aca="false">IFERROR(MROUND(($G$28*100*B48/C48),5)-100,0)</f>
        <v>10</v>
      </c>
    </row>
    <row r="49" customFormat="false" ht="15" hidden="false" customHeight="false" outlineLevel="0" collapsed="false">
      <c r="A49" s="133" t="s">
        <v>127</v>
      </c>
      <c r="B49" s="130" t="n">
        <v>391</v>
      </c>
      <c r="C49" s="131" t="n">
        <v>216</v>
      </c>
      <c r="D49" s="162" t="n">
        <f aca="false">IFERROR(MROUND(($G$28*100*B49/C49),5)-100,0)</f>
        <v>0</v>
      </c>
    </row>
    <row r="50" customFormat="false" ht="15" hidden="false" customHeight="false" outlineLevel="0" collapsed="false">
      <c r="A50" s="133" t="s">
        <v>128</v>
      </c>
      <c r="B50" s="130" t="n">
        <v>222</v>
      </c>
      <c r="C50" s="131" t="n">
        <v>99</v>
      </c>
      <c r="D50" s="162" t="n">
        <f aca="false">IFERROR(MROUND(($G$28*100*B50/C50),5)-100,0)</f>
        <v>25</v>
      </c>
    </row>
    <row r="51" customFormat="false" ht="15" hidden="false" customHeight="false" outlineLevel="0" collapsed="false">
      <c r="A51" s="133" t="s">
        <v>129</v>
      </c>
      <c r="B51" s="130" t="n">
        <v>206</v>
      </c>
      <c r="C51" s="131" t="n">
        <v>90</v>
      </c>
      <c r="D51" s="162" t="n">
        <f aca="false">IFERROR(MROUND(($G$28*100*B51/C51),5)-100,0)</f>
        <v>25</v>
      </c>
    </row>
    <row r="52" customFormat="false" ht="15" hidden="false" customHeight="false" outlineLevel="0" collapsed="false">
      <c r="A52" s="133" t="s">
        <v>130</v>
      </c>
      <c r="B52" s="130" t="n">
        <v>260</v>
      </c>
      <c r="C52" s="131" t="n">
        <v>99</v>
      </c>
      <c r="D52" s="162" t="n">
        <f aca="false">IFERROR(MROUND(($G$28*100*B52/C52),5)-100,0)</f>
        <v>45</v>
      </c>
    </row>
    <row r="53" customFormat="false" ht="15" hidden="false" customHeight="false" outlineLevel="0" collapsed="false">
      <c r="A53" s="133" t="s">
        <v>131</v>
      </c>
      <c r="B53" s="130" t="n">
        <v>397</v>
      </c>
      <c r="C53" s="131" t="n">
        <v>198</v>
      </c>
      <c r="D53" s="162" t="n">
        <f aca="false">IFERROR(MROUND(($G$28*100*B53/C53),5)-100,0)</f>
        <v>10</v>
      </c>
    </row>
    <row r="54" customFormat="false" ht="15" hidden="false" customHeight="false" outlineLevel="0" collapsed="false">
      <c r="A54" s="129" t="s">
        <v>170</v>
      </c>
      <c r="B54" s="130" t="n">
        <v>168</v>
      </c>
      <c r="C54" s="131" t="n">
        <v>81</v>
      </c>
      <c r="D54" s="162" t="n">
        <f aca="false">IFERROR(MROUND(($G$28*100*B54/C54),5)-100,0)</f>
        <v>15</v>
      </c>
    </row>
    <row r="55" customFormat="false" ht="15" hidden="false" customHeight="false" outlineLevel="0" collapsed="false">
      <c r="A55" s="129" t="s">
        <v>133</v>
      </c>
      <c r="B55" s="130" t="n">
        <v>258</v>
      </c>
      <c r="C55" s="131" t="n">
        <v>117</v>
      </c>
      <c r="D55" s="162" t="n">
        <f aca="false">IFERROR(MROUND(($G$28*100*B55/C55),5)-100,0)</f>
        <v>20</v>
      </c>
    </row>
    <row r="56" customFormat="false" ht="15" hidden="false" customHeight="false" outlineLevel="0" collapsed="false">
      <c r="A56" s="129" t="s">
        <v>134</v>
      </c>
      <c r="B56" s="130" t="n">
        <v>267</v>
      </c>
      <c r="C56" s="131" t="n">
        <v>117</v>
      </c>
      <c r="D56" s="162" t="n">
        <f aca="false">IFERROR(MROUND(($G$28*100*B56/C56),5)-100,0)</f>
        <v>25</v>
      </c>
    </row>
    <row r="57" customFormat="false" ht="15" hidden="false" customHeight="false" outlineLevel="0" collapsed="false">
      <c r="A57" s="129" t="s">
        <v>135</v>
      </c>
      <c r="B57" s="130" t="n">
        <v>20</v>
      </c>
      <c r="C57" s="131" t="n">
        <v>9</v>
      </c>
      <c r="D57" s="162" t="n">
        <f aca="false">IFERROR(MROUND(($G$28*100*B57/C57),5)-100,0)</f>
        <v>20</v>
      </c>
    </row>
    <row r="58" customFormat="false" ht="15" hidden="false" customHeight="false" outlineLevel="0" collapsed="false">
      <c r="A58" s="129" t="s">
        <v>136</v>
      </c>
      <c r="B58" s="130" t="n">
        <v>144</v>
      </c>
      <c r="C58" s="131" t="n">
        <v>72</v>
      </c>
      <c r="D58" s="162" t="n">
        <f aca="false">IFERROR(MROUND(($G$28*100*B58/C58),5)-100,0)</f>
        <v>10</v>
      </c>
    </row>
    <row r="59" customFormat="false" ht="15" hidden="false" customHeight="false" outlineLevel="0" collapsed="false">
      <c r="A59" s="129" t="s">
        <v>137</v>
      </c>
      <c r="B59" s="130" t="n">
        <v>350</v>
      </c>
      <c r="C59" s="131" t="n">
        <v>135</v>
      </c>
      <c r="D59" s="162" t="n">
        <f aca="false">IFERROR(MROUND(($G$28*100*B59/C59),5)-100,0)</f>
        <v>40</v>
      </c>
    </row>
    <row r="60" customFormat="false" ht="15" hidden="false" customHeight="false" outlineLevel="0" collapsed="false">
      <c r="A60" s="129" t="s">
        <v>138</v>
      </c>
      <c r="B60" s="130" t="n">
        <v>277</v>
      </c>
      <c r="C60" s="131" t="n">
        <v>117</v>
      </c>
      <c r="D60" s="162" t="n">
        <f aca="false">IFERROR(MROUND(($G$28*100*B60/C60),5)-100,0)</f>
        <v>30</v>
      </c>
    </row>
    <row r="61" customFormat="false" ht="15" hidden="false" customHeight="false" outlineLevel="0" collapsed="false">
      <c r="A61" s="129" t="s">
        <v>139</v>
      </c>
      <c r="B61" s="130" t="n">
        <v>266</v>
      </c>
      <c r="C61" s="131" t="n">
        <v>135</v>
      </c>
      <c r="D61" s="162" t="n">
        <f aca="false">IFERROR(MROUND(($G$28*100*B61/C61),5)-100,0)</f>
        <v>10</v>
      </c>
    </row>
    <row r="62" customFormat="false" ht="15" hidden="false" customHeight="false" outlineLevel="0" collapsed="false">
      <c r="A62" s="129" t="s">
        <v>140</v>
      </c>
      <c r="B62" s="130" t="n">
        <v>95</v>
      </c>
      <c r="C62" s="131" t="n">
        <v>36</v>
      </c>
      <c r="D62" s="162" t="n">
        <f aca="false">IFERROR(MROUND(($G$28*100*B62/C62),5)-100,0)</f>
        <v>45</v>
      </c>
    </row>
    <row r="63" customFormat="false" ht="15" hidden="false" customHeight="false" outlineLevel="0" collapsed="false">
      <c r="A63" s="129" t="s">
        <v>141</v>
      </c>
      <c r="B63" s="130" t="n">
        <v>255</v>
      </c>
      <c r="C63" s="131" t="n">
        <v>99</v>
      </c>
      <c r="D63" s="162" t="n">
        <f aca="false">IFERROR(MROUND(($G$28*100*B63/C63),5)-100,0)</f>
        <v>40</v>
      </c>
    </row>
    <row r="64" customFormat="false" ht="15" hidden="false" customHeight="false" outlineLevel="0" collapsed="false">
      <c r="A64" s="129" t="s">
        <v>142</v>
      </c>
      <c r="B64" s="130" t="n">
        <v>80</v>
      </c>
      <c r="C64" s="131" t="n">
        <v>36</v>
      </c>
      <c r="D64" s="162" t="n">
        <f aca="false">IFERROR(MROUND(($G$28*100*B64/C64),5)-100,0)</f>
        <v>20</v>
      </c>
    </row>
    <row r="65" customFormat="false" ht="15" hidden="false" customHeight="false" outlineLevel="0" collapsed="false">
      <c r="A65" s="133" t="s">
        <v>143</v>
      </c>
      <c r="B65" s="130" t="n">
        <v>265</v>
      </c>
      <c r="C65" s="131" t="n">
        <v>135</v>
      </c>
      <c r="D65" s="162" t="n">
        <f aca="false">IFERROR(MROUND(($G$28*100*B65/C65),5)-100,0)</f>
        <v>10</v>
      </c>
    </row>
    <row r="66" customFormat="false" ht="15" hidden="false" customHeight="false" outlineLevel="0" collapsed="false">
      <c r="A66" s="133" t="s">
        <v>144</v>
      </c>
      <c r="B66" s="130" t="n">
        <v>322</v>
      </c>
      <c r="C66" s="131" t="n">
        <v>144</v>
      </c>
      <c r="D66" s="162" t="n">
        <f aca="false">IFERROR(MROUND(($G$28*100*B66/C66),5)-100,0)</f>
        <v>25</v>
      </c>
    </row>
    <row r="67" customFormat="false" ht="15" hidden="false" customHeight="false" outlineLevel="0" collapsed="false">
      <c r="A67" s="133" t="s">
        <v>145</v>
      </c>
      <c r="B67" s="130" t="n">
        <v>234</v>
      </c>
      <c r="C67" s="131" t="n">
        <v>108</v>
      </c>
      <c r="D67" s="162" t="n">
        <f aca="false">IFERROR(MROUND(($G$28*100*B67/C67),5)-100,0)</f>
        <v>20</v>
      </c>
    </row>
    <row r="68" customFormat="false" ht="15" hidden="false" customHeight="false" outlineLevel="0" collapsed="false">
      <c r="A68" s="133" t="s">
        <v>146</v>
      </c>
      <c r="B68" s="130" t="n">
        <v>405</v>
      </c>
      <c r="C68" s="131" t="n">
        <v>216</v>
      </c>
      <c r="D68" s="162" t="n">
        <f aca="false">IFERROR(MROUND(($G$28*100*B68/C68),5)-100,0)</f>
        <v>5</v>
      </c>
    </row>
    <row r="69" customFormat="false" ht="15" hidden="false" customHeight="false" outlineLevel="0" collapsed="false">
      <c r="A69" s="133" t="s">
        <v>147</v>
      </c>
      <c r="B69" s="130" t="n">
        <v>447</v>
      </c>
      <c r="C69" s="131" t="n">
        <v>216</v>
      </c>
      <c r="D69" s="162" t="n">
        <f aca="false">IFERROR(MROUND(($G$28*100*B69/C69),5)-100,0)</f>
        <v>15</v>
      </c>
    </row>
    <row r="70" customFormat="false" ht="15" hidden="false" customHeight="false" outlineLevel="0" collapsed="false">
      <c r="A70" s="133" t="s">
        <v>148</v>
      </c>
      <c r="B70" s="130" t="n">
        <v>357</v>
      </c>
      <c r="C70" s="131" t="n">
        <v>144</v>
      </c>
      <c r="D70" s="162" t="n">
        <f aca="false">IFERROR(MROUND(($G$28*100*B70/C70),5)-100,0)</f>
        <v>35</v>
      </c>
    </row>
    <row r="71" customFormat="false" ht="15" hidden="false" customHeight="false" outlineLevel="0" collapsed="false">
      <c r="A71" s="129" t="s">
        <v>149</v>
      </c>
      <c r="B71" s="130" t="n">
        <v>433</v>
      </c>
      <c r="C71" s="131" t="n">
        <v>216</v>
      </c>
      <c r="D71" s="162" t="n">
        <f aca="false">IFERROR(MROUND(($G$28*100*B71/C71),5)-100,0)</f>
        <v>10</v>
      </c>
    </row>
    <row r="72" customFormat="false" ht="15" hidden="false" customHeight="false" outlineLevel="0" collapsed="false">
      <c r="A72" s="129" t="s">
        <v>150</v>
      </c>
      <c r="B72" s="130" t="n">
        <v>484</v>
      </c>
      <c r="C72" s="131" t="n">
        <v>243</v>
      </c>
      <c r="D72" s="162" t="n">
        <f aca="false">IFERROR(MROUND(($G$28*100*B72/C72),5)-100,0)</f>
        <v>10</v>
      </c>
    </row>
    <row r="73" customFormat="false" ht="15" hidden="false" customHeight="false" outlineLevel="0" collapsed="false">
      <c r="A73" s="129" t="s">
        <v>151</v>
      </c>
      <c r="B73" s="130" t="n">
        <v>339</v>
      </c>
      <c r="C73" s="131" t="n">
        <v>153</v>
      </c>
      <c r="D73" s="162" t="n">
        <f aca="false">IFERROR(MROUND(($G$28*100*B73/C73),5)-100,0)</f>
        <v>20</v>
      </c>
    </row>
    <row r="74" customFormat="false" ht="15" hidden="false" customHeight="false" outlineLevel="0" collapsed="false">
      <c r="A74" s="129" t="s">
        <v>152</v>
      </c>
      <c r="B74" s="130" t="n">
        <v>452</v>
      </c>
      <c r="C74" s="131" t="n">
        <v>225</v>
      </c>
      <c r="D74" s="162" t="n">
        <f aca="false">IFERROR(MROUND(($G$28*100*B74/C74),5)-100,0)</f>
        <v>10</v>
      </c>
    </row>
  </sheetData>
  <mergeCells count="28">
    <mergeCell ref="A1:K1"/>
    <mergeCell ref="L1:V1"/>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6:F26"/>
    <mergeCell ref="A27:F27"/>
    <mergeCell ref="A28:F28"/>
    <mergeCell ref="A31:K31"/>
    <mergeCell ref="L31:V31"/>
    <mergeCell ref="A33:D33"/>
  </mergeCells>
  <conditionalFormatting sqref="E6:F24">
    <cfRule type="colorScale" priority="2">
      <colorScale>
        <cfvo type="num" val="1"/>
        <cfvo type="num" val="3"/>
        <cfvo type="num" val="5"/>
        <color rgb="FF63BE7B"/>
        <color rgb="FFFFEB84"/>
        <color rgb="FFF8696B"/>
      </colorScale>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9" man="true" max="16383" min="0"/>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T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H38" activeCellId="0" sqref="H38"/>
    </sheetView>
  </sheetViews>
  <sheetFormatPr defaultColWidth="8.859375" defaultRowHeight="15" zeroHeight="false" outlineLevelRow="0" outlineLevelCol="0"/>
  <cols>
    <col collapsed="false" customWidth="true" hidden="false" outlineLevel="0" max="1" min="1" style="30" width="8.71"/>
    <col collapsed="false" customWidth="true" hidden="false" outlineLevel="0" max="2" min="2" style="0" width="13.42"/>
    <col collapsed="false" customWidth="true" hidden="false" outlineLevel="0" max="3" min="3" style="0" width="10.42"/>
    <col collapsed="false" customWidth="true" hidden="false" outlineLevel="0" max="4" min="4" style="0" width="9.42"/>
    <col collapsed="false" customWidth="true" hidden="false" outlineLevel="0" max="5" min="5" style="0" width="9.57"/>
    <col collapsed="false" customWidth="true" hidden="false" outlineLevel="0" max="6" min="6" style="0" width="9.71"/>
    <col collapsed="false" customWidth="true" hidden="false" outlineLevel="0" max="7" min="7" style="0" width="10.85"/>
    <col collapsed="false" customWidth="true" hidden="false" outlineLevel="0" max="8" min="8" style="0" width="10.29"/>
    <col collapsed="false" customWidth="true" hidden="false" outlineLevel="0" max="9" min="9" style="0" width="9.57"/>
    <col collapsed="false" customWidth="true" hidden="false" outlineLevel="0" max="10" min="10" style="0" width="9.86"/>
    <col collapsed="false" customWidth="true" hidden="false" outlineLevel="0" max="11" min="11" style="0" width="9.57"/>
    <col collapsed="false" customWidth="true" hidden="false" outlineLevel="0" max="12" min="12" style="0" width="11"/>
    <col collapsed="false" customWidth="true" hidden="false" outlineLevel="0" max="13" min="13" style="0" width="9.42"/>
    <col collapsed="false" customWidth="true" hidden="false" outlineLevel="0" max="14" min="14" style="0" width="12.29"/>
    <col collapsed="false" customWidth="true" hidden="false" outlineLevel="0" max="15" min="15" style="0" width="9.57"/>
    <col collapsed="false" customWidth="true" hidden="false" outlineLevel="0" max="18" min="16" style="0" width="9.42"/>
    <col collapsed="false" customWidth="true" hidden="false" outlineLevel="0" max="19" min="19" style="0" width="10.85"/>
    <col collapsed="false" customWidth="true" hidden="false" outlineLevel="0" max="20" min="20" style="0" width="10.42"/>
  </cols>
  <sheetData>
    <row r="1" s="30" customFormat="true" ht="14.25" hidden="false" customHeight="true" outlineLevel="0" collapsed="false">
      <c r="A1" s="163" t="s">
        <v>18</v>
      </c>
      <c r="B1" s="164" t="n">
        <v>1</v>
      </c>
      <c r="C1" s="164" t="n">
        <v>2</v>
      </c>
      <c r="D1" s="164" t="n">
        <v>3</v>
      </c>
      <c r="E1" s="164" t="n">
        <v>4</v>
      </c>
      <c r="F1" s="164" t="n">
        <v>5</v>
      </c>
      <c r="G1" s="164" t="n">
        <v>6</v>
      </c>
      <c r="H1" s="164" t="n">
        <v>7</v>
      </c>
      <c r="I1" s="164" t="n">
        <v>8</v>
      </c>
      <c r="J1" s="164" t="n">
        <v>9</v>
      </c>
      <c r="K1" s="164" t="n">
        <v>10</v>
      </c>
      <c r="L1" s="164" t="n">
        <v>11</v>
      </c>
      <c r="M1" s="164" t="n">
        <v>12</v>
      </c>
      <c r="N1" s="164" t="n">
        <v>13</v>
      </c>
      <c r="O1" s="164" t="n">
        <v>14</v>
      </c>
      <c r="P1" s="164" t="n">
        <v>15</v>
      </c>
      <c r="Q1" s="164" t="n">
        <v>16</v>
      </c>
      <c r="R1" s="164" t="n">
        <v>17</v>
      </c>
      <c r="S1" s="164" t="n">
        <v>18</v>
      </c>
      <c r="T1" s="164" t="n">
        <v>19</v>
      </c>
    </row>
    <row r="2" s="166" customFormat="true" ht="54" hidden="false" customHeight="true" outlineLevel="0" collapsed="false">
      <c r="A2" s="163"/>
      <c r="B2" s="165" t="s">
        <v>299</v>
      </c>
      <c r="C2" s="165" t="s">
        <v>300</v>
      </c>
      <c r="D2" s="165" t="s">
        <v>301</v>
      </c>
      <c r="E2" s="165" t="s">
        <v>302</v>
      </c>
      <c r="F2" s="165" t="s">
        <v>303</v>
      </c>
      <c r="G2" s="165" t="s">
        <v>304</v>
      </c>
      <c r="H2" s="165" t="s">
        <v>305</v>
      </c>
      <c r="I2" s="165" t="s">
        <v>306</v>
      </c>
      <c r="J2" s="165" t="s">
        <v>307</v>
      </c>
      <c r="K2" s="165" t="s">
        <v>308</v>
      </c>
      <c r="L2" s="165" t="s">
        <v>309</v>
      </c>
      <c r="M2" s="165" t="s">
        <v>310</v>
      </c>
      <c r="N2" s="165" t="s">
        <v>311</v>
      </c>
      <c r="O2" s="165" t="s">
        <v>312</v>
      </c>
      <c r="P2" s="165" t="s">
        <v>313</v>
      </c>
      <c r="Q2" s="165" t="s">
        <v>314</v>
      </c>
      <c r="R2" s="165" t="s">
        <v>315</v>
      </c>
      <c r="S2" s="165" t="s">
        <v>316</v>
      </c>
      <c r="T2" s="165" t="s">
        <v>317</v>
      </c>
    </row>
    <row r="3" customFormat="false" ht="15" hidden="false" customHeight="false" outlineLevel="0" collapsed="false">
      <c r="A3" s="115" t="s">
        <v>113</v>
      </c>
      <c r="B3" s="167" t="n">
        <v>3</v>
      </c>
      <c r="C3" s="167" t="n">
        <v>2</v>
      </c>
      <c r="D3" s="167" t="n">
        <v>3</v>
      </c>
      <c r="E3" s="167" t="n">
        <v>0</v>
      </c>
      <c r="F3" s="167" t="n">
        <v>0</v>
      </c>
      <c r="G3" s="167" t="n">
        <v>0</v>
      </c>
      <c r="H3" s="167" t="n">
        <v>2</v>
      </c>
      <c r="I3" s="167" t="n">
        <v>0</v>
      </c>
      <c r="J3" s="167" t="n">
        <v>0</v>
      </c>
      <c r="K3" s="167" t="n">
        <v>0</v>
      </c>
      <c r="L3" s="167" t="n">
        <v>0</v>
      </c>
      <c r="M3" s="167" t="n">
        <v>0</v>
      </c>
      <c r="N3" s="167" t="n">
        <v>3</v>
      </c>
      <c r="O3" s="167" t="n">
        <v>2</v>
      </c>
      <c r="P3" s="167" t="n">
        <v>0</v>
      </c>
      <c r="Q3" s="167" t="n">
        <v>0</v>
      </c>
      <c r="R3" s="167" t="n">
        <v>2</v>
      </c>
      <c r="S3" s="167" t="n">
        <v>2</v>
      </c>
      <c r="T3" s="167" t="n">
        <v>2</v>
      </c>
    </row>
    <row r="4" customFormat="false" ht="15" hidden="false" customHeight="false" outlineLevel="0" collapsed="false">
      <c r="A4" s="115" t="s">
        <v>114</v>
      </c>
      <c r="B4" s="167" t="n">
        <v>3</v>
      </c>
      <c r="C4" s="167" t="n">
        <v>2</v>
      </c>
      <c r="D4" s="167" t="n">
        <v>0</v>
      </c>
      <c r="E4" s="167" t="n">
        <v>0</v>
      </c>
      <c r="F4" s="167" t="n">
        <v>2</v>
      </c>
      <c r="G4" s="167" t="n">
        <v>0</v>
      </c>
      <c r="H4" s="167" t="n">
        <v>0</v>
      </c>
      <c r="I4" s="167" t="n">
        <v>0</v>
      </c>
      <c r="J4" s="167" t="n">
        <v>0</v>
      </c>
      <c r="K4" s="167" t="n">
        <v>0</v>
      </c>
      <c r="L4" s="167" t="n">
        <v>0</v>
      </c>
      <c r="M4" s="167" t="n">
        <v>0</v>
      </c>
      <c r="N4" s="167" t="n">
        <v>1</v>
      </c>
      <c r="O4" s="167" t="n">
        <v>0</v>
      </c>
      <c r="P4" s="167" t="n">
        <v>0</v>
      </c>
      <c r="Q4" s="167" t="n">
        <v>0</v>
      </c>
      <c r="R4" s="167" t="n">
        <v>3</v>
      </c>
      <c r="S4" s="167" t="n">
        <v>1</v>
      </c>
      <c r="T4" s="167" t="n">
        <v>3</v>
      </c>
    </row>
    <row r="5" customFormat="false" ht="15" hidden="false" customHeight="false" outlineLevel="0" collapsed="false">
      <c r="A5" s="115" t="s">
        <v>115</v>
      </c>
      <c r="B5" s="167" t="n">
        <v>2</v>
      </c>
      <c r="C5" s="167" t="n">
        <v>2</v>
      </c>
      <c r="D5" s="167" t="n">
        <v>0</v>
      </c>
      <c r="E5" s="167" t="n">
        <v>0</v>
      </c>
      <c r="F5" s="167" t="n">
        <v>0</v>
      </c>
      <c r="G5" s="167" t="n">
        <v>0</v>
      </c>
      <c r="H5" s="167" t="n">
        <v>0</v>
      </c>
      <c r="I5" s="167" t="n">
        <v>0</v>
      </c>
      <c r="J5" s="167" t="n">
        <v>0</v>
      </c>
      <c r="K5" s="167" t="n">
        <v>1</v>
      </c>
      <c r="L5" s="167" t="n">
        <v>2</v>
      </c>
      <c r="M5" s="167" t="n">
        <v>0</v>
      </c>
      <c r="N5" s="167" t="n">
        <v>3</v>
      </c>
      <c r="O5" s="167" t="n">
        <v>3</v>
      </c>
      <c r="P5" s="167" t="n">
        <v>0</v>
      </c>
      <c r="Q5" s="167" t="n">
        <v>0</v>
      </c>
      <c r="R5" s="167" t="n">
        <v>0</v>
      </c>
      <c r="S5" s="167" t="n">
        <v>2</v>
      </c>
      <c r="T5" s="167" t="n">
        <v>3</v>
      </c>
    </row>
    <row r="6" customFormat="false" ht="15" hidden="false" customHeight="false" outlineLevel="0" collapsed="false">
      <c r="A6" s="115" t="s">
        <v>116</v>
      </c>
      <c r="B6" s="167" t="n">
        <v>3</v>
      </c>
      <c r="C6" s="167" t="n">
        <v>0</v>
      </c>
      <c r="D6" s="167" t="n">
        <v>4</v>
      </c>
      <c r="E6" s="167" t="n">
        <v>3</v>
      </c>
      <c r="F6" s="167" t="n">
        <v>2</v>
      </c>
      <c r="G6" s="167" t="n">
        <v>0</v>
      </c>
      <c r="H6" s="167" t="n">
        <v>0</v>
      </c>
      <c r="I6" s="167" t="n">
        <v>0</v>
      </c>
      <c r="J6" s="167" t="n">
        <v>0</v>
      </c>
      <c r="K6" s="167" t="n">
        <v>0</v>
      </c>
      <c r="L6" s="167" t="n">
        <v>0</v>
      </c>
      <c r="M6" s="167" t="n">
        <v>2</v>
      </c>
      <c r="N6" s="167" t="n">
        <v>1</v>
      </c>
      <c r="O6" s="167" t="n">
        <v>0</v>
      </c>
      <c r="P6" s="167" t="n">
        <v>2</v>
      </c>
      <c r="Q6" s="167" t="n">
        <v>0</v>
      </c>
      <c r="R6" s="167" t="n">
        <v>0</v>
      </c>
      <c r="S6" s="167" t="n">
        <v>2</v>
      </c>
      <c r="T6" s="167" t="n">
        <v>3</v>
      </c>
    </row>
    <row r="7" customFormat="false" ht="15" hidden="false" customHeight="false" outlineLevel="0" collapsed="false">
      <c r="A7" s="115" t="s">
        <v>117</v>
      </c>
      <c r="B7" s="167" t="n">
        <v>3</v>
      </c>
      <c r="C7" s="167" t="n">
        <v>1</v>
      </c>
      <c r="D7" s="167" t="n">
        <v>3</v>
      </c>
      <c r="E7" s="167" t="n">
        <v>0</v>
      </c>
      <c r="F7" s="167" t="n">
        <v>0</v>
      </c>
      <c r="G7" s="167" t="n">
        <v>0</v>
      </c>
      <c r="H7" s="167" t="n">
        <v>2</v>
      </c>
      <c r="I7" s="167" t="n">
        <v>0</v>
      </c>
      <c r="J7" s="167" t="n">
        <v>0</v>
      </c>
      <c r="K7" s="167" t="n">
        <v>1</v>
      </c>
      <c r="L7" s="167" t="n">
        <v>0</v>
      </c>
      <c r="M7" s="167" t="n">
        <v>1</v>
      </c>
      <c r="N7" s="167" t="n">
        <v>3</v>
      </c>
      <c r="O7" s="167" t="n">
        <v>3</v>
      </c>
      <c r="P7" s="167" t="n">
        <v>0</v>
      </c>
      <c r="Q7" s="167" t="n">
        <v>0</v>
      </c>
      <c r="R7" s="167" t="n">
        <v>0</v>
      </c>
      <c r="S7" s="167" t="n">
        <v>2</v>
      </c>
      <c r="T7" s="167" t="n">
        <v>2</v>
      </c>
    </row>
    <row r="8" customFormat="false" ht="15" hidden="false" customHeight="false" outlineLevel="0" collapsed="false">
      <c r="A8" s="117" t="s">
        <v>118</v>
      </c>
      <c r="B8" s="167" t="n">
        <v>2</v>
      </c>
      <c r="C8" s="167" t="n">
        <v>3</v>
      </c>
      <c r="D8" s="167" t="n">
        <v>2</v>
      </c>
      <c r="E8" s="167" t="n">
        <v>0</v>
      </c>
      <c r="F8" s="167" t="n">
        <v>2</v>
      </c>
      <c r="G8" s="167" t="n">
        <v>2</v>
      </c>
      <c r="H8" s="167" t="n">
        <v>4</v>
      </c>
      <c r="I8" s="167" t="n">
        <v>2</v>
      </c>
      <c r="J8" s="167" t="n">
        <v>0</v>
      </c>
      <c r="K8" s="167" t="n">
        <v>2</v>
      </c>
      <c r="L8" s="167" t="n">
        <v>3</v>
      </c>
      <c r="M8" s="167" t="n">
        <v>3</v>
      </c>
      <c r="N8" s="167" t="n">
        <v>3</v>
      </c>
      <c r="O8" s="167" t="n">
        <v>0</v>
      </c>
      <c r="P8" s="167" t="n">
        <v>0</v>
      </c>
      <c r="Q8" s="167" t="n">
        <v>0</v>
      </c>
      <c r="R8" s="167" t="n">
        <v>3</v>
      </c>
      <c r="S8" s="167" t="n">
        <v>2</v>
      </c>
      <c r="T8" s="167" t="n">
        <v>3</v>
      </c>
    </row>
    <row r="9" customFormat="false" ht="15" hidden="false" customHeight="false" outlineLevel="0" collapsed="false">
      <c r="A9" s="117" t="s">
        <v>119</v>
      </c>
      <c r="B9" s="167" t="n">
        <v>2</v>
      </c>
      <c r="C9" s="167" t="n">
        <v>0</v>
      </c>
      <c r="D9" s="167" t="n">
        <v>0</v>
      </c>
      <c r="E9" s="167" t="n">
        <v>0</v>
      </c>
      <c r="F9" s="167" t="n">
        <v>3</v>
      </c>
      <c r="G9" s="167" t="n">
        <v>0</v>
      </c>
      <c r="H9" s="167" t="n">
        <v>0</v>
      </c>
      <c r="I9" s="167" t="n">
        <v>2</v>
      </c>
      <c r="J9" s="167" t="n">
        <v>1</v>
      </c>
      <c r="K9" s="167" t="n">
        <v>0</v>
      </c>
      <c r="L9" s="167" t="n">
        <v>1</v>
      </c>
      <c r="M9" s="167" t="n">
        <v>2</v>
      </c>
      <c r="N9" s="167" t="n">
        <v>0</v>
      </c>
      <c r="O9" s="167" t="n">
        <v>0</v>
      </c>
      <c r="P9" s="167" t="n">
        <v>0</v>
      </c>
      <c r="Q9" s="167" t="n">
        <v>0</v>
      </c>
      <c r="R9" s="167" t="n">
        <v>2</v>
      </c>
      <c r="S9" s="167" t="n">
        <v>2</v>
      </c>
      <c r="T9" s="167" t="n">
        <v>1</v>
      </c>
    </row>
    <row r="10" customFormat="false" ht="15" hidden="false" customHeight="false" outlineLevel="0" collapsed="false">
      <c r="A10" s="117" t="s">
        <v>120</v>
      </c>
      <c r="B10" s="167" t="n">
        <v>2</v>
      </c>
      <c r="C10" s="167" t="n">
        <v>0</v>
      </c>
      <c r="D10" s="167" t="n">
        <v>0</v>
      </c>
      <c r="E10" s="167" t="n">
        <v>0</v>
      </c>
      <c r="F10" s="167" t="n">
        <v>4</v>
      </c>
      <c r="G10" s="167" t="n">
        <v>0</v>
      </c>
      <c r="H10" s="167" t="n">
        <v>0</v>
      </c>
      <c r="I10" s="167" t="n">
        <v>2</v>
      </c>
      <c r="J10" s="167" t="n">
        <v>0</v>
      </c>
      <c r="K10" s="167" t="n">
        <v>2</v>
      </c>
      <c r="L10" s="167" t="n">
        <v>2</v>
      </c>
      <c r="M10" s="167" t="n">
        <v>2</v>
      </c>
      <c r="N10" s="167" t="n">
        <v>0</v>
      </c>
      <c r="O10" s="167" t="n">
        <v>0</v>
      </c>
      <c r="P10" s="167" t="n">
        <v>0</v>
      </c>
      <c r="Q10" s="167" t="n">
        <v>0</v>
      </c>
      <c r="R10" s="167" t="n">
        <v>2</v>
      </c>
      <c r="S10" s="167" t="n">
        <v>0</v>
      </c>
      <c r="T10" s="167" t="n">
        <v>3</v>
      </c>
    </row>
    <row r="11" customFormat="false" ht="15" hidden="false" customHeight="false" outlineLevel="0" collapsed="false">
      <c r="A11" s="117" t="s">
        <v>121</v>
      </c>
      <c r="B11" s="167" t="n">
        <v>0</v>
      </c>
      <c r="C11" s="167" t="n">
        <v>0</v>
      </c>
      <c r="D11" s="167" t="n">
        <v>0</v>
      </c>
      <c r="E11" s="167" t="n">
        <v>0</v>
      </c>
      <c r="F11" s="167" t="n">
        <v>1</v>
      </c>
      <c r="G11" s="167" t="n">
        <v>0</v>
      </c>
      <c r="H11" s="167" t="n">
        <v>0</v>
      </c>
      <c r="I11" s="167" t="n">
        <v>0</v>
      </c>
      <c r="J11" s="167" t="n">
        <v>0</v>
      </c>
      <c r="K11" s="167" t="n">
        <v>0</v>
      </c>
      <c r="L11" s="167" t="n">
        <v>0</v>
      </c>
      <c r="M11" s="167" t="n">
        <v>0</v>
      </c>
      <c r="N11" s="167" t="n">
        <v>0</v>
      </c>
      <c r="O11" s="167" t="n">
        <v>0</v>
      </c>
      <c r="P11" s="167" t="n">
        <v>0</v>
      </c>
      <c r="Q11" s="167" t="n">
        <v>0</v>
      </c>
      <c r="R11" s="167" t="n">
        <v>4</v>
      </c>
      <c r="S11" s="167" t="n">
        <v>0</v>
      </c>
      <c r="T11" s="167" t="n">
        <v>0</v>
      </c>
    </row>
    <row r="12" customFormat="false" ht="15" hidden="false" customHeight="false" outlineLevel="0" collapsed="false">
      <c r="A12" s="117" t="s">
        <v>122</v>
      </c>
      <c r="B12" s="167" t="n">
        <v>4</v>
      </c>
      <c r="C12" s="167" t="n">
        <v>2</v>
      </c>
      <c r="D12" s="167" t="n">
        <v>2</v>
      </c>
      <c r="E12" s="167" t="n">
        <v>0</v>
      </c>
      <c r="F12" s="167" t="n">
        <v>2</v>
      </c>
      <c r="G12" s="167" t="n">
        <v>0</v>
      </c>
      <c r="H12" s="167" t="n">
        <v>0</v>
      </c>
      <c r="I12" s="167" t="n">
        <v>2</v>
      </c>
      <c r="J12" s="167" t="n">
        <v>2</v>
      </c>
      <c r="K12" s="167" t="n">
        <v>0</v>
      </c>
      <c r="L12" s="167" t="n">
        <v>0</v>
      </c>
      <c r="M12" s="167" t="n">
        <v>0</v>
      </c>
      <c r="N12" s="167" t="n">
        <v>0</v>
      </c>
      <c r="O12" s="167" t="n">
        <v>0</v>
      </c>
      <c r="P12" s="167" t="n">
        <v>0</v>
      </c>
      <c r="Q12" s="167" t="n">
        <v>0</v>
      </c>
      <c r="R12" s="167" t="n">
        <v>2</v>
      </c>
      <c r="S12" s="167" t="n">
        <v>0</v>
      </c>
      <c r="T12" s="167" t="n">
        <v>0</v>
      </c>
    </row>
    <row r="13" customFormat="false" ht="15" hidden="false" customHeight="false" outlineLevel="0" collapsed="false">
      <c r="A13" s="117" t="s">
        <v>123</v>
      </c>
      <c r="B13" s="167" t="n">
        <v>2</v>
      </c>
      <c r="C13" s="167" t="n">
        <v>3</v>
      </c>
      <c r="D13" s="167" t="n">
        <v>4</v>
      </c>
      <c r="E13" s="167" t="n">
        <v>0</v>
      </c>
      <c r="F13" s="167" t="n">
        <v>0</v>
      </c>
      <c r="G13" s="167" t="n">
        <v>0</v>
      </c>
      <c r="H13" s="167" t="n">
        <v>0</v>
      </c>
      <c r="I13" s="167" t="n">
        <v>0</v>
      </c>
      <c r="J13" s="167" t="n">
        <v>0</v>
      </c>
      <c r="K13" s="167" t="n">
        <v>0</v>
      </c>
      <c r="L13" s="167" t="n">
        <v>0</v>
      </c>
      <c r="M13" s="167" t="n">
        <v>2</v>
      </c>
      <c r="N13" s="167" t="n">
        <v>0</v>
      </c>
      <c r="O13" s="167" t="n">
        <v>2</v>
      </c>
      <c r="P13" s="167" t="n">
        <v>0</v>
      </c>
      <c r="Q13" s="167" t="n">
        <v>0</v>
      </c>
      <c r="R13" s="167" t="n">
        <v>2</v>
      </c>
      <c r="S13" s="167" t="n">
        <v>2</v>
      </c>
      <c r="T13" s="167" t="n">
        <v>0</v>
      </c>
    </row>
    <row r="14" customFormat="false" ht="15" hidden="false" customHeight="false" outlineLevel="0" collapsed="false">
      <c r="A14" s="117" t="s">
        <v>124</v>
      </c>
      <c r="B14" s="167" t="n">
        <v>0</v>
      </c>
      <c r="C14" s="167" t="n">
        <v>0</v>
      </c>
      <c r="D14" s="167" t="n">
        <v>0</v>
      </c>
      <c r="E14" s="167" t="n">
        <v>4</v>
      </c>
      <c r="F14" s="167" t="n">
        <v>0</v>
      </c>
      <c r="G14" s="167" t="n">
        <v>2</v>
      </c>
      <c r="H14" s="167" t="n">
        <v>3</v>
      </c>
      <c r="I14" s="167" t="n">
        <v>3</v>
      </c>
      <c r="J14" s="167" t="n">
        <v>0</v>
      </c>
      <c r="K14" s="167" t="n">
        <v>0</v>
      </c>
      <c r="L14" s="167" t="n">
        <v>2</v>
      </c>
      <c r="M14" s="167" t="n">
        <v>0</v>
      </c>
      <c r="N14" s="167" t="n">
        <v>0</v>
      </c>
      <c r="O14" s="167" t="n">
        <v>2</v>
      </c>
      <c r="P14" s="167" t="n">
        <v>4</v>
      </c>
      <c r="Q14" s="167" t="n">
        <v>0</v>
      </c>
      <c r="R14" s="167" t="n">
        <v>2</v>
      </c>
      <c r="S14" s="167" t="n">
        <v>2</v>
      </c>
      <c r="T14" s="167" t="n">
        <v>0</v>
      </c>
    </row>
    <row r="15" customFormat="false" ht="15" hidden="false" customHeight="false" outlineLevel="0" collapsed="false">
      <c r="A15" s="117" t="s">
        <v>125</v>
      </c>
      <c r="B15" s="167" t="n">
        <v>0</v>
      </c>
      <c r="C15" s="167" t="n">
        <v>0</v>
      </c>
      <c r="D15" s="167" t="n">
        <v>0</v>
      </c>
      <c r="E15" s="167" t="n">
        <v>2</v>
      </c>
      <c r="F15" s="167" t="n">
        <v>2</v>
      </c>
      <c r="G15" s="167" t="n">
        <v>0</v>
      </c>
      <c r="H15" s="167" t="n">
        <v>0</v>
      </c>
      <c r="I15" s="167" t="n">
        <v>4</v>
      </c>
      <c r="J15" s="167" t="n">
        <v>0</v>
      </c>
      <c r="K15" s="167" t="n">
        <v>0</v>
      </c>
      <c r="L15" s="167" t="n">
        <v>2</v>
      </c>
      <c r="M15" s="167" t="n">
        <v>2</v>
      </c>
      <c r="N15" s="167" t="n">
        <v>0</v>
      </c>
      <c r="O15" s="167" t="n">
        <v>0</v>
      </c>
      <c r="P15" s="167" t="n">
        <v>0</v>
      </c>
      <c r="Q15" s="167" t="n">
        <v>0</v>
      </c>
      <c r="R15" s="167" t="n">
        <v>3</v>
      </c>
      <c r="S15" s="167" t="n">
        <v>0</v>
      </c>
      <c r="T15" s="167" t="n">
        <v>2</v>
      </c>
    </row>
    <row r="16" customFormat="false" ht="15" hidden="false" customHeight="false" outlineLevel="0" collapsed="false">
      <c r="A16" s="117" t="s">
        <v>126</v>
      </c>
      <c r="B16" s="167" t="n">
        <v>0</v>
      </c>
      <c r="C16" s="167" t="n">
        <v>0</v>
      </c>
      <c r="D16" s="167" t="n">
        <v>2</v>
      </c>
      <c r="E16" s="167" t="n">
        <v>0</v>
      </c>
      <c r="F16" s="167" t="n">
        <v>0</v>
      </c>
      <c r="G16" s="167" t="n">
        <v>0</v>
      </c>
      <c r="H16" s="167" t="n">
        <v>2</v>
      </c>
      <c r="I16" s="167" t="n">
        <v>3</v>
      </c>
      <c r="J16" s="167" t="n">
        <v>0</v>
      </c>
      <c r="K16" s="167" t="n">
        <v>1</v>
      </c>
      <c r="L16" s="167" t="n">
        <v>2</v>
      </c>
      <c r="M16" s="167" t="n">
        <v>3</v>
      </c>
      <c r="N16" s="167" t="n">
        <v>0</v>
      </c>
      <c r="O16" s="167" t="n">
        <v>0</v>
      </c>
      <c r="P16" s="167" t="n">
        <v>0</v>
      </c>
      <c r="Q16" s="167" t="n">
        <v>0</v>
      </c>
      <c r="R16" s="167" t="n">
        <v>0</v>
      </c>
      <c r="S16" s="167" t="n">
        <v>0</v>
      </c>
      <c r="T16" s="167" t="n">
        <v>0</v>
      </c>
    </row>
    <row r="17" customFormat="false" ht="15" hidden="false" customHeight="false" outlineLevel="0" collapsed="false">
      <c r="A17" s="117" t="s">
        <v>127</v>
      </c>
      <c r="B17" s="167" t="n">
        <v>0</v>
      </c>
      <c r="C17" s="167" t="n">
        <v>2</v>
      </c>
      <c r="D17" s="167" t="n">
        <v>3</v>
      </c>
      <c r="E17" s="167" t="n">
        <v>0</v>
      </c>
      <c r="F17" s="167" t="n">
        <v>0</v>
      </c>
      <c r="G17" s="167" t="n">
        <v>0</v>
      </c>
      <c r="H17" s="167" t="n">
        <v>2</v>
      </c>
      <c r="I17" s="167" t="n">
        <v>2</v>
      </c>
      <c r="J17" s="167" t="n">
        <v>3</v>
      </c>
      <c r="K17" s="167" t="n">
        <v>2</v>
      </c>
      <c r="L17" s="167" t="n">
        <v>2</v>
      </c>
      <c r="M17" s="167" t="n">
        <v>4</v>
      </c>
      <c r="N17" s="167" t="n">
        <v>2</v>
      </c>
      <c r="O17" s="167" t="n">
        <v>2</v>
      </c>
      <c r="P17" s="167" t="n">
        <v>0</v>
      </c>
      <c r="Q17" s="167" t="n">
        <v>0</v>
      </c>
      <c r="R17" s="167" t="n">
        <v>0</v>
      </c>
      <c r="S17" s="167" t="n">
        <v>0</v>
      </c>
      <c r="T17" s="167" t="n">
        <v>0</v>
      </c>
    </row>
    <row r="18" customFormat="false" ht="15" hidden="false" customHeight="false" outlineLevel="0" collapsed="false">
      <c r="A18" s="117" t="s">
        <v>128</v>
      </c>
      <c r="B18" s="167" t="n">
        <v>0</v>
      </c>
      <c r="C18" s="167" t="n">
        <v>3</v>
      </c>
      <c r="D18" s="167" t="n">
        <v>0</v>
      </c>
      <c r="E18" s="167" t="n">
        <v>0</v>
      </c>
      <c r="F18" s="167" t="n">
        <v>0</v>
      </c>
      <c r="G18" s="167" t="n">
        <v>0</v>
      </c>
      <c r="H18" s="167" t="n">
        <v>0</v>
      </c>
      <c r="I18" s="167" t="n">
        <v>2</v>
      </c>
      <c r="J18" s="167" t="n">
        <v>0</v>
      </c>
      <c r="K18" s="167" t="n">
        <v>4</v>
      </c>
      <c r="L18" s="167" t="n">
        <v>0</v>
      </c>
      <c r="M18" s="167" t="n">
        <v>0</v>
      </c>
      <c r="N18" s="167" t="n">
        <v>0</v>
      </c>
      <c r="O18" s="167" t="n">
        <v>0</v>
      </c>
      <c r="P18" s="167" t="n">
        <v>0</v>
      </c>
      <c r="Q18" s="167" t="n">
        <v>0</v>
      </c>
      <c r="R18" s="167" t="n">
        <v>0</v>
      </c>
      <c r="S18" s="167" t="n">
        <v>0</v>
      </c>
      <c r="T18" s="167" t="n">
        <v>2</v>
      </c>
    </row>
    <row r="19" customFormat="false" ht="15" hidden="false" customHeight="false" outlineLevel="0" collapsed="false">
      <c r="A19" s="117" t="s">
        <v>129</v>
      </c>
      <c r="B19" s="167" t="n">
        <v>0</v>
      </c>
      <c r="C19" s="167" t="n">
        <v>0</v>
      </c>
      <c r="D19" s="167" t="n">
        <v>0</v>
      </c>
      <c r="E19" s="167" t="n">
        <v>0</v>
      </c>
      <c r="F19" s="167" t="n">
        <v>0</v>
      </c>
      <c r="G19" s="167" t="n">
        <v>0</v>
      </c>
      <c r="H19" s="167" t="n">
        <v>3</v>
      </c>
      <c r="I19" s="167" t="n">
        <v>0</v>
      </c>
      <c r="J19" s="167" t="n">
        <v>0</v>
      </c>
      <c r="K19" s="167" t="n">
        <v>2</v>
      </c>
      <c r="L19" s="167" t="n">
        <v>3</v>
      </c>
      <c r="M19" s="167" t="n">
        <v>0</v>
      </c>
      <c r="N19" s="167" t="n">
        <v>0</v>
      </c>
      <c r="O19" s="167" t="n">
        <v>0</v>
      </c>
      <c r="P19" s="167" t="n">
        <v>0</v>
      </c>
      <c r="Q19" s="167" t="n">
        <v>2</v>
      </c>
      <c r="R19" s="167" t="n">
        <v>0</v>
      </c>
      <c r="S19" s="167" t="n">
        <v>0</v>
      </c>
      <c r="T19" s="167" t="n">
        <v>0</v>
      </c>
    </row>
    <row r="20" customFormat="false" ht="15" hidden="false" customHeight="false" outlineLevel="0" collapsed="false">
      <c r="A20" s="117" t="s">
        <v>130</v>
      </c>
      <c r="B20" s="167" t="n">
        <v>0</v>
      </c>
      <c r="C20" s="167" t="n">
        <v>0</v>
      </c>
      <c r="D20" s="167" t="n">
        <v>0</v>
      </c>
      <c r="E20" s="167" t="n">
        <v>0</v>
      </c>
      <c r="F20" s="167" t="n">
        <v>0</v>
      </c>
      <c r="G20" s="167" t="n">
        <v>0</v>
      </c>
      <c r="H20" s="167" t="n">
        <v>4</v>
      </c>
      <c r="I20" s="167" t="n">
        <v>0</v>
      </c>
      <c r="J20" s="167" t="n">
        <v>0</v>
      </c>
      <c r="K20" s="167" t="n">
        <v>0</v>
      </c>
      <c r="L20" s="167" t="n">
        <v>4</v>
      </c>
      <c r="M20" s="167" t="n">
        <v>0</v>
      </c>
      <c r="N20" s="167" t="n">
        <v>3</v>
      </c>
      <c r="O20" s="167" t="n">
        <v>0</v>
      </c>
      <c r="P20" s="167" t="n">
        <v>0</v>
      </c>
      <c r="Q20" s="167" t="n">
        <v>0</v>
      </c>
      <c r="R20" s="167" t="n">
        <v>0</v>
      </c>
      <c r="S20" s="167" t="n">
        <v>0</v>
      </c>
      <c r="T20" s="167" t="n">
        <v>0</v>
      </c>
    </row>
    <row r="21" customFormat="false" ht="15" hidden="false" customHeight="false" outlineLevel="0" collapsed="false">
      <c r="A21" s="117" t="s">
        <v>131</v>
      </c>
      <c r="B21" s="167" t="n">
        <v>0</v>
      </c>
      <c r="C21" s="167" t="n">
        <v>0</v>
      </c>
      <c r="D21" s="167" t="n">
        <v>0</v>
      </c>
      <c r="E21" s="167" t="n">
        <v>0</v>
      </c>
      <c r="F21" s="167" t="n">
        <v>0</v>
      </c>
      <c r="G21" s="167" t="n">
        <v>0</v>
      </c>
      <c r="H21" s="167" t="n">
        <v>3</v>
      </c>
      <c r="I21" s="167" t="n">
        <v>2</v>
      </c>
      <c r="J21" s="167" t="n">
        <v>0</v>
      </c>
      <c r="K21" s="167" t="n">
        <v>0</v>
      </c>
      <c r="L21" s="167" t="n">
        <v>2</v>
      </c>
      <c r="M21" s="167" t="n">
        <v>0</v>
      </c>
      <c r="N21" s="167" t="n">
        <v>3</v>
      </c>
      <c r="O21" s="167" t="n">
        <v>0</v>
      </c>
      <c r="P21" s="167" t="n">
        <v>2</v>
      </c>
      <c r="Q21" s="167" t="n">
        <v>4</v>
      </c>
      <c r="R21" s="167" t="n">
        <v>2</v>
      </c>
      <c r="S21" s="167" t="n">
        <v>0</v>
      </c>
      <c r="T21" s="167" t="n">
        <v>4</v>
      </c>
    </row>
    <row r="22" customFormat="false" ht="15" hidden="false" customHeight="false" outlineLevel="0" collapsed="false">
      <c r="A22" s="115" t="s">
        <v>132</v>
      </c>
      <c r="B22" s="167" t="n">
        <v>0</v>
      </c>
      <c r="C22" s="167" t="n">
        <v>4</v>
      </c>
      <c r="D22" s="167" t="n">
        <v>0</v>
      </c>
      <c r="E22" s="167" t="n">
        <v>0</v>
      </c>
      <c r="F22" s="167" t="n">
        <v>2</v>
      </c>
      <c r="G22" s="167" t="n">
        <v>0</v>
      </c>
      <c r="H22" s="167" t="n">
        <v>0</v>
      </c>
      <c r="I22" s="167" t="n">
        <v>3</v>
      </c>
      <c r="J22" s="167" t="n">
        <v>0</v>
      </c>
      <c r="K22" s="167" t="n">
        <v>0</v>
      </c>
      <c r="L22" s="167" t="n">
        <v>0</v>
      </c>
      <c r="M22" s="167" t="n">
        <v>0</v>
      </c>
      <c r="N22" s="167" t="n">
        <v>0</v>
      </c>
      <c r="O22" s="167" t="n">
        <v>0</v>
      </c>
      <c r="P22" s="167" t="n">
        <v>0</v>
      </c>
      <c r="Q22" s="167" t="n">
        <v>0</v>
      </c>
      <c r="R22" s="167" t="n">
        <v>0</v>
      </c>
      <c r="S22" s="167" t="n">
        <v>0</v>
      </c>
      <c r="T22" s="167" t="n">
        <v>0</v>
      </c>
    </row>
    <row r="23" customFormat="false" ht="15" hidden="false" customHeight="false" outlineLevel="0" collapsed="false">
      <c r="A23" s="115" t="s">
        <v>133</v>
      </c>
      <c r="B23" s="167" t="n">
        <v>2</v>
      </c>
      <c r="C23" s="167" t="n">
        <v>2</v>
      </c>
      <c r="D23" s="167" t="n">
        <v>0</v>
      </c>
      <c r="E23" s="167" t="n">
        <v>0</v>
      </c>
      <c r="F23" s="167" t="n">
        <v>2</v>
      </c>
      <c r="G23" s="167" t="n">
        <v>0</v>
      </c>
      <c r="H23" s="167" t="n">
        <v>0</v>
      </c>
      <c r="I23" s="167" t="n">
        <v>3</v>
      </c>
      <c r="J23" s="167" t="n">
        <v>0</v>
      </c>
      <c r="K23" s="167" t="n">
        <v>2</v>
      </c>
      <c r="L23" s="167" t="n">
        <v>2</v>
      </c>
      <c r="M23" s="167" t="n">
        <v>0</v>
      </c>
      <c r="N23" s="167" t="n">
        <v>0</v>
      </c>
      <c r="O23" s="167" t="n">
        <v>0</v>
      </c>
      <c r="P23" s="167" t="n">
        <v>0</v>
      </c>
      <c r="Q23" s="167" t="n">
        <v>0</v>
      </c>
      <c r="R23" s="167" t="n">
        <v>0</v>
      </c>
      <c r="S23" s="167" t="n">
        <v>0</v>
      </c>
      <c r="T23" s="167" t="n">
        <v>0</v>
      </c>
    </row>
    <row r="24" customFormat="false" ht="15" hidden="false" customHeight="false" outlineLevel="0" collapsed="false">
      <c r="A24" s="115" t="s">
        <v>134</v>
      </c>
      <c r="B24" s="167" t="n">
        <v>0</v>
      </c>
      <c r="C24" s="167" t="n">
        <v>3</v>
      </c>
      <c r="D24" s="167" t="n">
        <v>0</v>
      </c>
      <c r="E24" s="167" t="n">
        <v>0</v>
      </c>
      <c r="F24" s="167" t="n">
        <v>2</v>
      </c>
      <c r="G24" s="167" t="n">
        <v>0</v>
      </c>
      <c r="H24" s="167" t="n">
        <v>0</v>
      </c>
      <c r="I24" s="167" t="n">
        <v>2</v>
      </c>
      <c r="J24" s="167" t="n">
        <v>0</v>
      </c>
      <c r="K24" s="167" t="n">
        <v>3</v>
      </c>
      <c r="L24" s="167" t="n">
        <v>3</v>
      </c>
      <c r="M24" s="167" t="n">
        <v>0</v>
      </c>
      <c r="N24" s="167" t="n">
        <v>0</v>
      </c>
      <c r="O24" s="167" t="n">
        <v>0</v>
      </c>
      <c r="P24" s="167" t="n">
        <v>0</v>
      </c>
      <c r="Q24" s="167" t="n">
        <v>0</v>
      </c>
      <c r="R24" s="167" t="n">
        <v>0</v>
      </c>
      <c r="S24" s="167" t="n">
        <v>0</v>
      </c>
      <c r="T24" s="167" t="n">
        <v>0</v>
      </c>
    </row>
    <row r="25" customFormat="false" ht="15" hidden="false" customHeight="false" outlineLevel="0" collapsed="false">
      <c r="A25" s="115" t="s">
        <v>135</v>
      </c>
      <c r="B25" s="167" t="n">
        <v>0</v>
      </c>
      <c r="C25" s="167" t="n">
        <v>1</v>
      </c>
      <c r="D25" s="167" t="n">
        <v>0</v>
      </c>
      <c r="E25" s="167" t="n">
        <v>0</v>
      </c>
      <c r="F25" s="167" t="n">
        <v>0</v>
      </c>
      <c r="G25" s="167" t="n">
        <v>0</v>
      </c>
      <c r="H25" s="167" t="n">
        <v>0</v>
      </c>
      <c r="I25" s="167" t="n">
        <v>0</v>
      </c>
      <c r="J25" s="167" t="n">
        <v>0</v>
      </c>
      <c r="K25" s="167" t="n">
        <v>0</v>
      </c>
      <c r="L25" s="167" t="n">
        <v>0</v>
      </c>
      <c r="M25" s="167" t="n">
        <v>0</v>
      </c>
      <c r="N25" s="167" t="n">
        <v>0</v>
      </c>
      <c r="O25" s="167" t="n">
        <v>0</v>
      </c>
      <c r="P25" s="167" t="n">
        <v>0</v>
      </c>
      <c r="Q25" s="167" t="n">
        <v>0</v>
      </c>
      <c r="R25" s="167" t="n">
        <v>0</v>
      </c>
      <c r="S25" s="167" t="n">
        <v>0</v>
      </c>
      <c r="T25" s="167" t="n">
        <v>0</v>
      </c>
    </row>
    <row r="26" customFormat="false" ht="15" hidden="false" customHeight="false" outlineLevel="0" collapsed="false">
      <c r="A26" s="115" t="s">
        <v>136</v>
      </c>
      <c r="B26" s="167" t="n">
        <v>0</v>
      </c>
      <c r="C26" s="167" t="n">
        <v>2</v>
      </c>
      <c r="D26" s="167" t="n">
        <v>0</v>
      </c>
      <c r="E26" s="167" t="n">
        <v>2</v>
      </c>
      <c r="F26" s="167" t="n">
        <v>0</v>
      </c>
      <c r="G26" s="167" t="n">
        <v>0</v>
      </c>
      <c r="H26" s="167" t="n">
        <v>0</v>
      </c>
      <c r="I26" s="167" t="n">
        <v>4</v>
      </c>
      <c r="J26" s="167" t="n">
        <v>0</v>
      </c>
      <c r="K26" s="167" t="n">
        <v>0</v>
      </c>
      <c r="L26" s="167" t="n">
        <v>0</v>
      </c>
      <c r="M26" s="167" t="n">
        <v>0</v>
      </c>
      <c r="N26" s="167" t="n">
        <v>0</v>
      </c>
      <c r="O26" s="167" t="n">
        <v>0</v>
      </c>
      <c r="P26" s="167" t="n">
        <v>0</v>
      </c>
      <c r="Q26" s="167" t="n">
        <v>0</v>
      </c>
      <c r="R26" s="167" t="n">
        <v>0</v>
      </c>
      <c r="S26" s="167" t="n">
        <v>0</v>
      </c>
      <c r="T26" s="167" t="n">
        <v>0</v>
      </c>
    </row>
    <row r="27" customFormat="false" ht="15" hidden="false" customHeight="false" outlineLevel="0" collapsed="false">
      <c r="A27" s="115" t="s">
        <v>137</v>
      </c>
      <c r="B27" s="167" t="n">
        <v>0</v>
      </c>
      <c r="C27" s="167" t="n">
        <v>0</v>
      </c>
      <c r="D27" s="167" t="n">
        <v>0</v>
      </c>
      <c r="E27" s="167" t="n">
        <v>0</v>
      </c>
      <c r="F27" s="167" t="n">
        <v>0</v>
      </c>
      <c r="G27" s="167" t="n">
        <v>3</v>
      </c>
      <c r="H27" s="167" t="n">
        <v>4</v>
      </c>
      <c r="I27" s="167" t="n">
        <v>0</v>
      </c>
      <c r="J27" s="167" t="n">
        <v>0</v>
      </c>
      <c r="K27" s="167" t="n">
        <v>2</v>
      </c>
      <c r="L27" s="167" t="n">
        <v>3</v>
      </c>
      <c r="M27" s="167" t="n">
        <v>0</v>
      </c>
      <c r="N27" s="167" t="n">
        <v>0</v>
      </c>
      <c r="O27" s="167" t="n">
        <v>0</v>
      </c>
      <c r="P27" s="167" t="n">
        <v>0</v>
      </c>
      <c r="Q27" s="167" t="n">
        <v>0</v>
      </c>
      <c r="R27" s="167" t="n">
        <v>0</v>
      </c>
      <c r="S27" s="167" t="n">
        <v>0</v>
      </c>
      <c r="T27" s="167" t="n">
        <v>3</v>
      </c>
    </row>
    <row r="28" customFormat="false" ht="15" hidden="false" customHeight="false" outlineLevel="0" collapsed="false">
      <c r="A28" s="115" t="s">
        <v>138</v>
      </c>
      <c r="B28" s="167" t="n">
        <v>0</v>
      </c>
      <c r="C28" s="167" t="n">
        <v>0</v>
      </c>
      <c r="D28" s="167" t="n">
        <v>0</v>
      </c>
      <c r="E28" s="167" t="n">
        <v>0</v>
      </c>
      <c r="F28" s="167" t="n">
        <v>0</v>
      </c>
      <c r="G28" s="167" t="n">
        <v>2</v>
      </c>
      <c r="H28" s="167" t="n">
        <v>3</v>
      </c>
      <c r="I28" s="167" t="n">
        <v>2</v>
      </c>
      <c r="J28" s="167" t="n">
        <v>0</v>
      </c>
      <c r="K28" s="167" t="n">
        <v>4</v>
      </c>
      <c r="L28" s="167" t="n">
        <v>2</v>
      </c>
      <c r="M28" s="167" t="n">
        <v>0</v>
      </c>
      <c r="N28" s="167" t="n">
        <v>0</v>
      </c>
      <c r="O28" s="167" t="n">
        <v>0</v>
      </c>
      <c r="P28" s="167" t="n">
        <v>0</v>
      </c>
      <c r="Q28" s="167" t="n">
        <v>0</v>
      </c>
      <c r="R28" s="167" t="n">
        <v>0</v>
      </c>
      <c r="S28" s="167" t="n">
        <v>0</v>
      </c>
      <c r="T28" s="167" t="n">
        <v>0</v>
      </c>
    </row>
    <row r="29" customFormat="false" ht="15" hidden="false" customHeight="false" outlineLevel="0" collapsed="false">
      <c r="A29" s="115" t="s">
        <v>139</v>
      </c>
      <c r="B29" s="167" t="n">
        <v>0</v>
      </c>
      <c r="C29" s="167" t="n">
        <v>0</v>
      </c>
      <c r="D29" s="167" t="n">
        <v>0</v>
      </c>
      <c r="E29" s="167" t="n">
        <v>2</v>
      </c>
      <c r="F29" s="167" t="n">
        <v>0</v>
      </c>
      <c r="G29" s="167" t="n">
        <v>3</v>
      </c>
      <c r="H29" s="167" t="n">
        <v>0</v>
      </c>
      <c r="I29" s="167" t="n">
        <v>3</v>
      </c>
      <c r="J29" s="167" t="n">
        <v>0</v>
      </c>
      <c r="K29" s="167" t="n">
        <v>3</v>
      </c>
      <c r="L29" s="167" t="n">
        <v>0</v>
      </c>
      <c r="M29" s="167" t="n">
        <v>0</v>
      </c>
      <c r="N29" s="167" t="n">
        <v>0</v>
      </c>
      <c r="O29" s="167" t="n">
        <v>0</v>
      </c>
      <c r="P29" s="167" t="n">
        <v>2</v>
      </c>
      <c r="Q29" s="167" t="n">
        <v>0</v>
      </c>
      <c r="R29" s="167" t="n">
        <v>0</v>
      </c>
      <c r="S29" s="167" t="n">
        <v>0</v>
      </c>
      <c r="T29" s="167" t="n">
        <v>2</v>
      </c>
    </row>
    <row r="30" customFormat="false" ht="15" hidden="false" customHeight="false" outlineLevel="0" collapsed="false">
      <c r="A30" s="115" t="s">
        <v>140</v>
      </c>
      <c r="B30" s="167" t="n">
        <v>0</v>
      </c>
      <c r="C30" s="167" t="n">
        <v>0</v>
      </c>
      <c r="D30" s="167" t="n">
        <v>0</v>
      </c>
      <c r="E30" s="167" t="n">
        <v>0</v>
      </c>
      <c r="F30" s="167" t="n">
        <v>0</v>
      </c>
      <c r="G30" s="167" t="n">
        <v>1</v>
      </c>
      <c r="H30" s="167" t="n">
        <v>3</v>
      </c>
      <c r="I30" s="167" t="n">
        <v>0</v>
      </c>
      <c r="J30" s="167" t="n">
        <v>0</v>
      </c>
      <c r="K30" s="167" t="n">
        <v>0</v>
      </c>
      <c r="L30" s="167" t="n">
        <v>0</v>
      </c>
      <c r="M30" s="167" t="n">
        <v>0</v>
      </c>
      <c r="N30" s="167" t="n">
        <v>0</v>
      </c>
      <c r="O30" s="167" t="n">
        <v>0</v>
      </c>
      <c r="P30" s="167" t="n">
        <v>0</v>
      </c>
      <c r="Q30" s="167" t="n">
        <v>0</v>
      </c>
      <c r="R30" s="167" t="n">
        <v>0</v>
      </c>
      <c r="S30" s="167" t="n">
        <v>0</v>
      </c>
      <c r="T30" s="167" t="n">
        <v>0</v>
      </c>
    </row>
    <row r="31" customFormat="false" ht="15" hidden="false" customHeight="false" outlineLevel="0" collapsed="false">
      <c r="A31" s="115" t="s">
        <v>141</v>
      </c>
      <c r="B31" s="167" t="n">
        <v>0</v>
      </c>
      <c r="C31" s="167" t="n">
        <v>0</v>
      </c>
      <c r="D31" s="167" t="n">
        <v>0</v>
      </c>
      <c r="E31" s="167" t="n">
        <v>0</v>
      </c>
      <c r="F31" s="167" t="n">
        <v>0</v>
      </c>
      <c r="G31" s="167" t="n">
        <v>2</v>
      </c>
      <c r="H31" s="167" t="n">
        <v>4</v>
      </c>
      <c r="I31" s="167" t="n">
        <v>0</v>
      </c>
      <c r="J31" s="167" t="n">
        <v>0</v>
      </c>
      <c r="K31" s="167" t="n">
        <v>2</v>
      </c>
      <c r="L31" s="167" t="n">
        <v>3</v>
      </c>
      <c r="M31" s="167" t="n">
        <v>0</v>
      </c>
      <c r="N31" s="167" t="n">
        <v>0</v>
      </c>
      <c r="O31" s="167" t="n">
        <v>0</v>
      </c>
      <c r="P31" s="167" t="n">
        <v>0</v>
      </c>
      <c r="Q31" s="167" t="n">
        <v>0</v>
      </c>
      <c r="R31" s="167" t="n">
        <v>0</v>
      </c>
      <c r="S31" s="167" t="n">
        <v>0</v>
      </c>
      <c r="T31" s="167" t="n">
        <v>0</v>
      </c>
    </row>
    <row r="32" customFormat="false" ht="15" hidden="false" customHeight="false" outlineLevel="0" collapsed="false">
      <c r="A32" s="115" t="s">
        <v>142</v>
      </c>
      <c r="B32" s="167" t="n">
        <v>0</v>
      </c>
      <c r="C32" s="167" t="n">
        <v>4</v>
      </c>
      <c r="D32" s="167" t="n">
        <v>0</v>
      </c>
      <c r="E32" s="167" t="n">
        <v>0</v>
      </c>
      <c r="F32" s="167" t="n">
        <v>0</v>
      </c>
      <c r="G32" s="167" t="n">
        <v>0</v>
      </c>
      <c r="H32" s="167" t="n">
        <v>0</v>
      </c>
      <c r="I32" s="167" t="n">
        <v>0</v>
      </c>
      <c r="J32" s="167" t="n">
        <v>0</v>
      </c>
      <c r="K32" s="167" t="n">
        <v>0</v>
      </c>
      <c r="L32" s="167" t="n">
        <v>0</v>
      </c>
      <c r="M32" s="167" t="n">
        <v>0</v>
      </c>
      <c r="N32" s="167" t="n">
        <v>0</v>
      </c>
      <c r="O32" s="167" t="n">
        <v>0</v>
      </c>
      <c r="P32" s="167" t="n">
        <v>0</v>
      </c>
      <c r="Q32" s="167" t="n">
        <v>0</v>
      </c>
      <c r="R32" s="167" t="n">
        <v>0</v>
      </c>
      <c r="S32" s="167" t="n">
        <v>0</v>
      </c>
      <c r="T32" s="167" t="n">
        <v>0</v>
      </c>
    </row>
    <row r="33" customFormat="false" ht="15" hidden="false" customHeight="false" outlineLevel="0" collapsed="false">
      <c r="A33" s="117" t="s">
        <v>143</v>
      </c>
      <c r="B33" s="167" t="n">
        <v>0</v>
      </c>
      <c r="C33" s="167" t="n">
        <v>0</v>
      </c>
      <c r="D33" s="167" t="n">
        <v>0</v>
      </c>
      <c r="E33" s="167" t="n">
        <v>0</v>
      </c>
      <c r="F33" s="167" t="n">
        <v>0</v>
      </c>
      <c r="G33" s="167" t="n">
        <v>4</v>
      </c>
      <c r="H33" s="167" t="n">
        <v>3</v>
      </c>
      <c r="I33" s="167" t="n">
        <v>0</v>
      </c>
      <c r="J33" s="167" t="n">
        <v>4</v>
      </c>
      <c r="K33" s="167" t="n">
        <v>0</v>
      </c>
      <c r="L33" s="167" t="n">
        <v>2</v>
      </c>
      <c r="M33" s="167" t="n">
        <v>0</v>
      </c>
      <c r="N33" s="167" t="n">
        <v>0</v>
      </c>
      <c r="O33" s="167" t="n">
        <v>0</v>
      </c>
      <c r="P33" s="167" t="n">
        <v>0</v>
      </c>
      <c r="Q33" s="167" t="n">
        <v>0</v>
      </c>
      <c r="R33" s="167" t="n">
        <v>0</v>
      </c>
      <c r="S33" s="167" t="n">
        <v>2</v>
      </c>
      <c r="T33" s="167" t="n">
        <v>0</v>
      </c>
    </row>
    <row r="34" customFormat="false" ht="15" hidden="false" customHeight="false" outlineLevel="0" collapsed="false">
      <c r="A34" s="117" t="s">
        <v>144</v>
      </c>
      <c r="B34" s="167" t="n">
        <v>0</v>
      </c>
      <c r="C34" s="167" t="n">
        <v>0</v>
      </c>
      <c r="D34" s="167" t="n">
        <v>0</v>
      </c>
      <c r="E34" s="167" t="n">
        <v>0</v>
      </c>
      <c r="F34" s="167" t="n">
        <v>0</v>
      </c>
      <c r="G34" s="167" t="n">
        <v>3</v>
      </c>
      <c r="H34" s="167" t="n">
        <v>2</v>
      </c>
      <c r="I34" s="167" t="n">
        <v>3</v>
      </c>
      <c r="J34" s="167" t="n">
        <v>2</v>
      </c>
      <c r="K34" s="167" t="n">
        <v>2</v>
      </c>
      <c r="L34" s="167" t="n">
        <v>4</v>
      </c>
      <c r="M34" s="167" t="n">
        <v>0</v>
      </c>
      <c r="N34" s="167" t="n">
        <v>0</v>
      </c>
      <c r="O34" s="167" t="n">
        <v>0</v>
      </c>
      <c r="P34" s="167" t="n">
        <v>0</v>
      </c>
      <c r="Q34" s="167" t="n">
        <v>0</v>
      </c>
      <c r="R34" s="167" t="n">
        <v>0</v>
      </c>
      <c r="S34" s="167" t="n">
        <v>0</v>
      </c>
      <c r="T34" s="167" t="n">
        <v>0</v>
      </c>
    </row>
    <row r="35" customFormat="false" ht="15" hidden="false" customHeight="false" outlineLevel="0" collapsed="false">
      <c r="A35" s="117" t="s">
        <v>145</v>
      </c>
      <c r="B35" s="167" t="n">
        <v>0</v>
      </c>
      <c r="C35" s="167" t="n">
        <v>0</v>
      </c>
      <c r="D35" s="167" t="n">
        <v>0</v>
      </c>
      <c r="E35" s="167" t="n">
        <v>0</v>
      </c>
      <c r="F35" s="167" t="n">
        <v>0</v>
      </c>
      <c r="G35" s="167" t="n">
        <v>3</v>
      </c>
      <c r="H35" s="167" t="n">
        <v>1</v>
      </c>
      <c r="I35" s="167" t="n">
        <v>4</v>
      </c>
      <c r="J35" s="167" t="n">
        <v>0</v>
      </c>
      <c r="K35" s="167" t="n">
        <v>3</v>
      </c>
      <c r="L35" s="167" t="n">
        <v>1</v>
      </c>
      <c r="M35" s="167" t="n">
        <v>0</v>
      </c>
      <c r="N35" s="167" t="n">
        <v>0</v>
      </c>
      <c r="O35" s="167" t="n">
        <v>0</v>
      </c>
      <c r="P35" s="167" t="n">
        <v>0</v>
      </c>
      <c r="Q35" s="167" t="n">
        <v>0</v>
      </c>
      <c r="R35" s="167" t="n">
        <v>0</v>
      </c>
      <c r="S35" s="167" t="n">
        <v>0</v>
      </c>
      <c r="T35" s="167" t="n">
        <v>0</v>
      </c>
    </row>
    <row r="36" customFormat="false" ht="15" hidden="false" customHeight="false" outlineLevel="0" collapsed="false">
      <c r="A36" s="117" t="s">
        <v>146</v>
      </c>
      <c r="B36" s="167" t="n">
        <v>0</v>
      </c>
      <c r="C36" s="167" t="n">
        <v>0</v>
      </c>
      <c r="D36" s="167" t="n">
        <v>0</v>
      </c>
      <c r="E36" s="167" t="n">
        <v>0</v>
      </c>
      <c r="F36" s="167" t="n">
        <v>0</v>
      </c>
      <c r="G36" s="167" t="n">
        <v>3</v>
      </c>
      <c r="H36" s="167" t="n">
        <v>3</v>
      </c>
      <c r="I36" s="167" t="n">
        <v>0</v>
      </c>
      <c r="J36" s="167" t="n">
        <v>3</v>
      </c>
      <c r="K36" s="167" t="n">
        <v>0</v>
      </c>
      <c r="L36" s="167" t="n">
        <v>4</v>
      </c>
      <c r="M36" s="167" t="n">
        <v>0</v>
      </c>
      <c r="N36" s="167" t="n">
        <v>2</v>
      </c>
      <c r="O36" s="167" t="n">
        <v>0</v>
      </c>
      <c r="P36" s="167" t="n">
        <v>3</v>
      </c>
      <c r="Q36" s="167" t="n">
        <v>4</v>
      </c>
      <c r="R36" s="167" t="n">
        <v>0</v>
      </c>
      <c r="S36" s="167" t="n">
        <v>0</v>
      </c>
      <c r="T36" s="167" t="n">
        <v>2</v>
      </c>
    </row>
    <row r="37" customFormat="false" ht="15" hidden="false" customHeight="false" outlineLevel="0" collapsed="false">
      <c r="A37" s="117" t="s">
        <v>147</v>
      </c>
      <c r="B37" s="167" t="n">
        <v>0</v>
      </c>
      <c r="C37" s="167" t="n">
        <v>0</v>
      </c>
      <c r="D37" s="167" t="n">
        <v>0</v>
      </c>
      <c r="E37" s="167" t="n">
        <v>0</v>
      </c>
      <c r="F37" s="167" t="n">
        <v>0</v>
      </c>
      <c r="G37" s="167" t="n">
        <v>3</v>
      </c>
      <c r="H37" s="167" t="n">
        <v>4</v>
      </c>
      <c r="I37" s="167" t="n">
        <v>0</v>
      </c>
      <c r="J37" s="167" t="n">
        <v>2</v>
      </c>
      <c r="K37" s="167" t="n">
        <v>0</v>
      </c>
      <c r="L37" s="167" t="n">
        <v>4</v>
      </c>
      <c r="M37" s="167" t="n">
        <v>0</v>
      </c>
      <c r="N37" s="167" t="n">
        <v>3</v>
      </c>
      <c r="O37" s="167" t="n">
        <v>0</v>
      </c>
      <c r="P37" s="167" t="n">
        <v>3</v>
      </c>
      <c r="Q37" s="167" t="n">
        <v>2</v>
      </c>
      <c r="R37" s="167" t="n">
        <v>0</v>
      </c>
      <c r="S37" s="167" t="n">
        <v>0</v>
      </c>
      <c r="T37" s="167" t="n">
        <v>3</v>
      </c>
    </row>
    <row r="38" customFormat="false" ht="15" hidden="false" customHeight="false" outlineLevel="0" collapsed="false">
      <c r="A38" s="117" t="s">
        <v>148</v>
      </c>
      <c r="B38" s="167" t="n">
        <v>0</v>
      </c>
      <c r="C38" s="167" t="n">
        <v>0</v>
      </c>
      <c r="D38" s="167" t="n">
        <v>0</v>
      </c>
      <c r="E38" s="167" t="n">
        <v>0</v>
      </c>
      <c r="F38" s="167" t="n">
        <v>0</v>
      </c>
      <c r="G38" s="167" t="n">
        <v>3</v>
      </c>
      <c r="H38" s="167" t="n">
        <v>4</v>
      </c>
      <c r="I38" s="167" t="n">
        <v>2</v>
      </c>
      <c r="J38" s="167" t="n">
        <v>0</v>
      </c>
      <c r="K38" s="167" t="n">
        <v>0</v>
      </c>
      <c r="L38" s="167" t="n">
        <v>2</v>
      </c>
      <c r="M38" s="167" t="n">
        <v>0</v>
      </c>
      <c r="N38" s="167" t="n">
        <v>2</v>
      </c>
      <c r="O38" s="167" t="n">
        <v>0</v>
      </c>
      <c r="P38" s="167" t="n">
        <v>0</v>
      </c>
      <c r="Q38" s="167" t="n">
        <v>0</v>
      </c>
      <c r="R38" s="167" t="n">
        <v>0</v>
      </c>
      <c r="S38" s="167" t="n">
        <v>0</v>
      </c>
      <c r="T38" s="167" t="n">
        <v>3</v>
      </c>
    </row>
    <row r="39" customFormat="false" ht="15" hidden="false" customHeight="false" outlineLevel="0" collapsed="false">
      <c r="A39" s="115" t="s">
        <v>149</v>
      </c>
      <c r="B39" s="167" t="n">
        <v>1</v>
      </c>
      <c r="C39" s="167" t="n">
        <v>2</v>
      </c>
      <c r="D39" s="167" t="n">
        <v>2</v>
      </c>
      <c r="E39" s="167" t="n">
        <v>0</v>
      </c>
      <c r="F39" s="167" t="n">
        <v>0</v>
      </c>
      <c r="G39" s="167" t="n">
        <v>2</v>
      </c>
      <c r="H39" s="167" t="n">
        <v>2</v>
      </c>
      <c r="I39" s="167" t="n">
        <v>0</v>
      </c>
      <c r="J39" s="167" t="n">
        <v>0</v>
      </c>
      <c r="K39" s="167" t="n">
        <v>2</v>
      </c>
      <c r="L39" s="167" t="n">
        <v>3</v>
      </c>
      <c r="M39" s="167" t="n">
        <v>2</v>
      </c>
      <c r="N39" s="167" t="n">
        <v>2</v>
      </c>
      <c r="O39" s="167" t="n">
        <v>2</v>
      </c>
      <c r="P39" s="167" t="n">
        <v>0</v>
      </c>
      <c r="Q39" s="167" t="n">
        <v>2</v>
      </c>
      <c r="R39" s="167" t="n">
        <v>0</v>
      </c>
      <c r="S39" s="167" t="n">
        <v>0</v>
      </c>
      <c r="T39" s="167" t="n">
        <v>2</v>
      </c>
    </row>
    <row r="40" customFormat="false" ht="15" hidden="false" customHeight="false" outlineLevel="0" collapsed="false">
      <c r="A40" s="115" t="s">
        <v>150</v>
      </c>
      <c r="B40" s="167" t="n">
        <v>1</v>
      </c>
      <c r="C40" s="167" t="n">
        <v>2</v>
      </c>
      <c r="D40" s="167" t="n">
        <v>2</v>
      </c>
      <c r="E40" s="167" t="n">
        <v>0</v>
      </c>
      <c r="F40" s="167" t="n">
        <v>0</v>
      </c>
      <c r="G40" s="167" t="n">
        <v>3</v>
      </c>
      <c r="H40" s="167" t="n">
        <v>3</v>
      </c>
      <c r="I40" s="167" t="n">
        <v>0</v>
      </c>
      <c r="J40" s="167" t="n">
        <v>0</v>
      </c>
      <c r="K40" s="167" t="n">
        <v>2</v>
      </c>
      <c r="L40" s="167" t="n">
        <v>3</v>
      </c>
      <c r="M40" s="167" t="n">
        <v>2</v>
      </c>
      <c r="N40" s="167" t="n">
        <v>2</v>
      </c>
      <c r="O40" s="167" t="n">
        <v>3</v>
      </c>
      <c r="P40" s="167" t="n">
        <v>0</v>
      </c>
      <c r="Q40" s="167" t="n">
        <v>2</v>
      </c>
      <c r="R40" s="167" t="n">
        <v>0</v>
      </c>
      <c r="S40" s="167" t="n">
        <v>0</v>
      </c>
      <c r="T40" s="167" t="n">
        <v>2</v>
      </c>
    </row>
    <row r="41" customFormat="false" ht="15" hidden="false" customHeight="false" outlineLevel="0" collapsed="false">
      <c r="A41" s="115" t="s">
        <v>151</v>
      </c>
      <c r="B41" s="167" t="n">
        <v>0</v>
      </c>
      <c r="C41" s="167" t="n">
        <v>1</v>
      </c>
      <c r="D41" s="167" t="n">
        <v>0</v>
      </c>
      <c r="E41" s="167" t="n">
        <v>0</v>
      </c>
      <c r="F41" s="167" t="n">
        <v>0</v>
      </c>
      <c r="G41" s="167" t="n">
        <v>1</v>
      </c>
      <c r="H41" s="167" t="n">
        <v>2</v>
      </c>
      <c r="I41" s="167" t="n">
        <v>0</v>
      </c>
      <c r="J41" s="167" t="n">
        <v>0</v>
      </c>
      <c r="K41" s="167" t="n">
        <v>0</v>
      </c>
      <c r="L41" s="167" t="n">
        <v>3</v>
      </c>
      <c r="M41" s="167" t="n">
        <v>2</v>
      </c>
      <c r="N41" s="167" t="n">
        <v>4</v>
      </c>
      <c r="O41" s="167" t="n">
        <v>2</v>
      </c>
      <c r="P41" s="167" t="n">
        <v>0</v>
      </c>
      <c r="Q41" s="167" t="n">
        <v>0</v>
      </c>
      <c r="R41" s="167" t="n">
        <v>0</v>
      </c>
      <c r="S41" s="167" t="n">
        <v>0</v>
      </c>
      <c r="T41" s="167" t="n">
        <v>2</v>
      </c>
    </row>
    <row r="42" customFormat="false" ht="15" hidden="false" customHeight="false" outlineLevel="0" collapsed="false">
      <c r="A42" s="115" t="s">
        <v>152</v>
      </c>
      <c r="B42" s="167" t="n">
        <v>1</v>
      </c>
      <c r="C42" s="167" t="n">
        <v>2</v>
      </c>
      <c r="D42" s="167" t="n">
        <v>0</v>
      </c>
      <c r="E42" s="167" t="n">
        <v>0</v>
      </c>
      <c r="F42" s="167" t="n">
        <v>0</v>
      </c>
      <c r="G42" s="167" t="n">
        <v>0</v>
      </c>
      <c r="H42" s="167" t="n">
        <v>3</v>
      </c>
      <c r="I42" s="167" t="n">
        <v>0</v>
      </c>
      <c r="J42" s="167" t="n">
        <v>0</v>
      </c>
      <c r="K42" s="167" t="n">
        <v>2</v>
      </c>
      <c r="L42" s="167" t="n">
        <v>3</v>
      </c>
      <c r="M42" s="167" t="n">
        <v>2</v>
      </c>
      <c r="N42" s="167" t="n">
        <v>2</v>
      </c>
      <c r="O42" s="167" t="n">
        <v>4</v>
      </c>
      <c r="P42" s="167" t="n">
        <v>0</v>
      </c>
      <c r="Q42" s="167" t="n">
        <v>2</v>
      </c>
      <c r="R42" s="167" t="n">
        <v>2</v>
      </c>
      <c r="S42" s="167" t="n">
        <v>0</v>
      </c>
      <c r="T42" s="167" t="n">
        <v>2</v>
      </c>
    </row>
  </sheetData>
  <mergeCells count="1">
    <mergeCell ref="A1:A2"/>
  </mergeCells>
  <conditionalFormatting sqref="B3:T42">
    <cfRule type="cellIs" priority="2" operator="equal" aboveAverage="0" equalAverage="0" bottom="0" percent="0" rank="0" text="" dxfId="5">
      <formula>1</formula>
    </cfRule>
    <cfRule type="cellIs" priority="3" operator="equal" aboveAverage="0" equalAverage="0" bottom="0" percent="0" rank="0" text="" dxfId="6">
      <formula>2</formula>
    </cfRule>
    <cfRule type="cellIs" priority="4" operator="equal" aboveAverage="0" equalAverage="0" bottom="0" percent="0" rank="0" text="" dxfId="7">
      <formula>3</formula>
    </cfRule>
    <cfRule type="cellIs" priority="5" operator="equal" aboveAverage="0" equalAverage="0" bottom="0" percent="0" rank="0" text="" dxfId="2">
      <formula>4</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U70"/>
  <sheetViews>
    <sheetView showFormulas="false" showGridLines="false" showRowColHeaders="true" showZeros="true" rightToLeft="false" tabSelected="true" showOutlineSymbols="true" defaultGridColor="true" view="normal" topLeftCell="A1" colorId="64" zoomScale="115" zoomScaleNormal="115" zoomScalePageLayoutView="100" workbookViewId="0">
      <pane xSplit="0" ySplit="2" topLeftCell="A3" activePane="bottomLeft" state="frozen"/>
      <selection pane="topLeft" activeCell="A1" activeCellId="0" sqref="A1"/>
      <selection pane="bottomLeft" activeCell="G6" activeCellId="0" sqref="G6"/>
    </sheetView>
  </sheetViews>
  <sheetFormatPr defaultColWidth="8.859375" defaultRowHeight="15" zeroHeight="false" outlineLevelRow="0" outlineLevelCol="0"/>
  <cols>
    <col collapsed="false" customWidth="true" hidden="false" outlineLevel="0" max="1" min="1" style="0" width="11.57"/>
    <col collapsed="false" customWidth="true" hidden="false" outlineLevel="0" max="2" min="2" style="0" width="7.57"/>
    <col collapsed="false" customWidth="true" hidden="false" outlineLevel="0" max="3" min="3" style="0" width="7.42"/>
    <col collapsed="false" customWidth="true" hidden="false" outlineLevel="0" max="4" min="4" style="0" width="10.57"/>
    <col collapsed="false" customWidth="true" hidden="false" outlineLevel="0" max="5" min="5" style="0" width="12.57"/>
    <col collapsed="false" customWidth="true" hidden="false" outlineLevel="0" max="6" min="6" style="0" width="10.29"/>
    <col collapsed="false" customWidth="true" hidden="false" outlineLevel="0" max="8" min="8" style="0" width="5.71"/>
    <col collapsed="false" customWidth="true" hidden="false" outlineLevel="0" max="9" min="9" style="0" width="8.15"/>
    <col collapsed="false" customWidth="true" hidden="false" outlineLevel="0" max="10" min="10" style="0" width="15.14"/>
  </cols>
  <sheetData>
    <row r="1" customFormat="false" ht="36" hidden="false" customHeight="true" outlineLevel="0" collapsed="false">
      <c r="A1" s="79" t="s">
        <v>318</v>
      </c>
      <c r="B1" s="79"/>
      <c r="C1" s="79"/>
      <c r="D1" s="79"/>
      <c r="E1" s="79"/>
      <c r="F1" s="79"/>
      <c r="G1" s="79"/>
      <c r="H1" s="79"/>
      <c r="I1" s="79"/>
      <c r="J1" s="79"/>
      <c r="K1" s="79" t="s">
        <v>318</v>
      </c>
      <c r="L1" s="79"/>
      <c r="M1" s="79"/>
      <c r="N1" s="79"/>
      <c r="O1" s="79"/>
      <c r="P1" s="79"/>
      <c r="Q1" s="79"/>
      <c r="R1" s="79"/>
      <c r="S1" s="79"/>
      <c r="T1" s="79"/>
      <c r="U1" s="79"/>
    </row>
    <row r="2" customFormat="false" ht="10.5" hidden="false" customHeight="true" outlineLevel="0" collapsed="false"/>
    <row r="3" s="25" customFormat="true" ht="21" hidden="false" customHeight="true" outlineLevel="0" collapsed="false">
      <c r="A3" s="82" t="s">
        <v>319</v>
      </c>
      <c r="B3" s="82"/>
      <c r="C3" s="82"/>
      <c r="D3" s="82"/>
      <c r="E3" s="82"/>
      <c r="F3" s="82"/>
      <c r="G3" s="82"/>
      <c r="H3" s="82"/>
      <c r="I3" s="82"/>
      <c r="J3" s="82"/>
      <c r="K3" s="82" t="s">
        <v>319</v>
      </c>
      <c r="L3" s="82"/>
      <c r="M3" s="82"/>
      <c r="N3" s="82"/>
      <c r="O3" s="82"/>
      <c r="P3" s="82"/>
      <c r="Q3" s="82"/>
      <c r="R3" s="82"/>
      <c r="S3" s="82"/>
      <c r="T3" s="82"/>
      <c r="U3" s="82"/>
    </row>
    <row r="4" s="84" customFormat="true" ht="19.5" hidden="false" customHeight="true" outlineLevel="0" collapsed="false"/>
    <row r="5" s="25" customFormat="true" ht="37.5" hidden="false" customHeight="true" outlineLevel="0" collapsed="false">
      <c r="A5" s="118" t="s">
        <v>320</v>
      </c>
      <c r="B5" s="118"/>
      <c r="C5" s="118"/>
      <c r="D5" s="118"/>
      <c r="E5" s="118"/>
      <c r="F5" s="87" t="s">
        <v>321</v>
      </c>
      <c r="G5" s="87" t="s">
        <v>96</v>
      </c>
      <c r="H5" s="88"/>
      <c r="I5" s="88"/>
      <c r="J5" s="88"/>
    </row>
    <row r="6" s="25" customFormat="true" ht="34.5" hidden="false" customHeight="true" outlineLevel="0" collapsed="false">
      <c r="A6" s="155" t="s">
        <v>322</v>
      </c>
      <c r="B6" s="155"/>
      <c r="C6" s="155"/>
      <c r="D6" s="155"/>
      <c r="E6" s="155"/>
      <c r="F6" s="168" t="n">
        <v>2</v>
      </c>
      <c r="G6" s="158" t="n">
        <v>2</v>
      </c>
      <c r="I6" s="169" t="n">
        <v>1</v>
      </c>
      <c r="J6" s="170" t="s">
        <v>323</v>
      </c>
    </row>
    <row r="7" s="25" customFormat="true" ht="40.5" hidden="false" customHeight="true" outlineLevel="0" collapsed="false">
      <c r="A7" s="155" t="s">
        <v>324</v>
      </c>
      <c r="B7" s="155"/>
      <c r="C7" s="155"/>
      <c r="D7" s="155"/>
      <c r="E7" s="155"/>
      <c r="F7" s="168" t="n">
        <v>2</v>
      </c>
      <c r="G7" s="158" t="n">
        <v>2</v>
      </c>
      <c r="I7" s="169" t="n">
        <v>2</v>
      </c>
      <c r="J7" s="170" t="s">
        <v>325</v>
      </c>
    </row>
    <row r="8" s="25" customFormat="true" ht="27.75" hidden="false" customHeight="true" outlineLevel="0" collapsed="false">
      <c r="A8" s="155" t="s">
        <v>326</v>
      </c>
      <c r="B8" s="155"/>
      <c r="C8" s="155"/>
      <c r="D8" s="155"/>
      <c r="E8" s="155"/>
      <c r="F8" s="168" t="n">
        <v>3</v>
      </c>
      <c r="G8" s="158" t="n">
        <v>2</v>
      </c>
      <c r="I8" s="169" t="n">
        <v>3</v>
      </c>
      <c r="J8" s="170" t="s">
        <v>327</v>
      </c>
    </row>
    <row r="9" s="25" customFormat="true" ht="16.5" hidden="false" customHeight="true" outlineLevel="0" collapsed="false">
      <c r="A9" s="155" t="s">
        <v>328</v>
      </c>
      <c r="B9" s="155"/>
      <c r="C9" s="155"/>
      <c r="D9" s="155"/>
      <c r="E9" s="155"/>
      <c r="F9" s="168" t="n">
        <v>2</v>
      </c>
      <c r="G9" s="158" t="n">
        <v>2</v>
      </c>
    </row>
    <row r="10" s="25" customFormat="true" ht="18.75" hidden="false" customHeight="true" outlineLevel="0" collapsed="false">
      <c r="A10" s="155" t="s">
        <v>329</v>
      </c>
      <c r="B10" s="155"/>
      <c r="C10" s="155"/>
      <c r="D10" s="155"/>
      <c r="E10" s="155"/>
      <c r="F10" s="168" t="n">
        <v>3</v>
      </c>
      <c r="G10" s="158" t="n">
        <v>2</v>
      </c>
    </row>
    <row r="11" s="25" customFormat="true" ht="27.75" hidden="false" customHeight="true" outlineLevel="0" collapsed="false">
      <c r="A11" s="155" t="s">
        <v>330</v>
      </c>
      <c r="B11" s="155"/>
      <c r="C11" s="155"/>
      <c r="D11" s="155"/>
      <c r="E11" s="155"/>
      <c r="F11" s="168" t="n">
        <v>2</v>
      </c>
      <c r="G11" s="158" t="n">
        <v>2</v>
      </c>
    </row>
    <row r="12" s="25" customFormat="true" ht="40.5" hidden="false" customHeight="true" outlineLevel="0" collapsed="false">
      <c r="A12" s="155" t="s">
        <v>331</v>
      </c>
      <c r="B12" s="155"/>
      <c r="C12" s="155"/>
      <c r="D12" s="155"/>
      <c r="E12" s="155"/>
      <c r="F12" s="168" t="n">
        <v>1</v>
      </c>
      <c r="G12" s="158" t="n">
        <v>2</v>
      </c>
    </row>
    <row r="13" s="25" customFormat="true" ht="27.75" hidden="false" customHeight="true" outlineLevel="0" collapsed="false">
      <c r="A13" s="155" t="s">
        <v>332</v>
      </c>
      <c r="B13" s="155"/>
      <c r="C13" s="155"/>
      <c r="D13" s="155"/>
      <c r="E13" s="155"/>
      <c r="F13" s="168" t="n">
        <v>2</v>
      </c>
      <c r="G13" s="158" t="n">
        <v>2</v>
      </c>
    </row>
    <row r="14" s="25" customFormat="true" ht="27.75" hidden="false" customHeight="true" outlineLevel="0" collapsed="false">
      <c r="A14" s="155" t="s">
        <v>333</v>
      </c>
      <c r="B14" s="155"/>
      <c r="C14" s="155"/>
      <c r="D14" s="155"/>
      <c r="E14" s="155"/>
      <c r="F14" s="168" t="n">
        <v>3</v>
      </c>
      <c r="G14" s="158" t="n">
        <v>2</v>
      </c>
    </row>
    <row r="15" s="25" customFormat="true" ht="27.75" hidden="false" customHeight="true" outlineLevel="0" collapsed="false">
      <c r="A15" s="155" t="s">
        <v>334</v>
      </c>
      <c r="B15" s="155"/>
      <c r="C15" s="155"/>
      <c r="D15" s="155"/>
      <c r="E15" s="155"/>
      <c r="F15" s="168" t="n">
        <v>3</v>
      </c>
      <c r="G15" s="158" t="n">
        <v>2</v>
      </c>
    </row>
    <row r="16" s="25" customFormat="true" ht="33" hidden="false" customHeight="true" outlineLevel="0" collapsed="false">
      <c r="A16" s="155" t="s">
        <v>335</v>
      </c>
      <c r="B16" s="155"/>
      <c r="C16" s="155"/>
      <c r="D16" s="155"/>
      <c r="E16" s="155"/>
      <c r="F16" s="168" t="n">
        <v>1</v>
      </c>
      <c r="G16" s="158" t="n">
        <v>2</v>
      </c>
    </row>
    <row r="17" s="25" customFormat="true" ht="27.75" hidden="false" customHeight="true" outlineLevel="0" collapsed="false">
      <c r="A17" s="155" t="s">
        <v>336</v>
      </c>
      <c r="B17" s="155"/>
      <c r="C17" s="155"/>
      <c r="D17" s="155"/>
      <c r="E17" s="155"/>
      <c r="F17" s="168" t="n">
        <v>2</v>
      </c>
      <c r="G17" s="158" t="n">
        <v>2</v>
      </c>
    </row>
    <row r="18" s="25" customFormat="true" ht="21" hidden="false" customHeight="true" outlineLevel="0" collapsed="false">
      <c r="A18" s="155" t="s">
        <v>337</v>
      </c>
      <c r="B18" s="155"/>
      <c r="C18" s="155"/>
      <c r="D18" s="155"/>
      <c r="E18" s="155"/>
      <c r="F18" s="168" t="n">
        <v>1</v>
      </c>
      <c r="G18" s="158" t="n">
        <v>2</v>
      </c>
    </row>
    <row r="19" s="25" customFormat="true" ht="27.75" hidden="false" customHeight="true" outlineLevel="0" collapsed="false">
      <c r="A19" s="155" t="s">
        <v>338</v>
      </c>
      <c r="B19" s="155"/>
      <c r="C19" s="155"/>
      <c r="D19" s="155"/>
      <c r="E19" s="155"/>
      <c r="F19" s="168" t="n">
        <v>3</v>
      </c>
      <c r="G19" s="158" t="n">
        <v>2</v>
      </c>
    </row>
    <row r="20" s="25" customFormat="true" ht="40.5" hidden="false" customHeight="true" outlineLevel="0" collapsed="false">
      <c r="A20" s="155" t="s">
        <v>339</v>
      </c>
      <c r="B20" s="155"/>
      <c r="C20" s="155"/>
      <c r="D20" s="155"/>
      <c r="E20" s="155"/>
      <c r="F20" s="168" t="n">
        <v>2</v>
      </c>
      <c r="G20" s="158" t="n">
        <v>2</v>
      </c>
    </row>
    <row r="21" s="25" customFormat="true" ht="27.75" hidden="false" customHeight="true" outlineLevel="0" collapsed="false">
      <c r="A21" s="155" t="s">
        <v>340</v>
      </c>
      <c r="B21" s="155"/>
      <c r="C21" s="155"/>
      <c r="D21" s="155"/>
      <c r="E21" s="155"/>
      <c r="F21" s="168" t="n">
        <v>3</v>
      </c>
      <c r="G21" s="158" t="n">
        <v>2</v>
      </c>
    </row>
    <row r="22" s="25" customFormat="true" ht="40.5" hidden="false" customHeight="true" outlineLevel="0" collapsed="false">
      <c r="A22" s="155" t="s">
        <v>341</v>
      </c>
      <c r="B22" s="155"/>
      <c r="C22" s="155"/>
      <c r="D22" s="155"/>
      <c r="E22" s="155"/>
      <c r="F22" s="168" t="n">
        <v>1</v>
      </c>
      <c r="G22" s="158" t="n">
        <v>2</v>
      </c>
    </row>
    <row r="23" s="25" customFormat="true" ht="55.5" hidden="false" customHeight="true" outlineLevel="0" collapsed="false">
      <c r="A23" s="155" t="s">
        <v>342</v>
      </c>
      <c r="B23" s="155"/>
      <c r="C23" s="155"/>
      <c r="D23" s="155"/>
      <c r="E23" s="155"/>
      <c r="F23" s="168" t="n">
        <v>2</v>
      </c>
      <c r="G23" s="158" t="n">
        <v>2</v>
      </c>
      <c r="I23" s="171" t="s">
        <v>101</v>
      </c>
      <c r="J23" s="172" t="n">
        <f aca="false">AVERAGE(F6:F25)</f>
        <v>2.15</v>
      </c>
    </row>
    <row r="24" s="25" customFormat="true" ht="15.75" hidden="false" customHeight="true" outlineLevel="0" collapsed="false">
      <c r="A24" s="155" t="s">
        <v>343</v>
      </c>
      <c r="B24" s="155"/>
      <c r="C24" s="155"/>
      <c r="D24" s="155"/>
      <c r="E24" s="155"/>
      <c r="F24" s="168" t="n">
        <v>2</v>
      </c>
      <c r="G24" s="158" t="n">
        <v>2</v>
      </c>
      <c r="I24" s="171" t="s">
        <v>102</v>
      </c>
      <c r="J24" s="172" t="n">
        <f aca="false">STDEVP(F6:F25)</f>
        <v>0.726291952316698</v>
      </c>
    </row>
    <row r="25" customFormat="false" ht="14.25" hidden="false" customHeight="true" outlineLevel="0" collapsed="false">
      <c r="A25" s="155" t="s">
        <v>344</v>
      </c>
      <c r="B25" s="155"/>
      <c r="C25" s="155"/>
      <c r="D25" s="155"/>
      <c r="E25" s="155"/>
      <c r="F25" s="168" t="n">
        <v>3</v>
      </c>
      <c r="G25" s="158" t="n">
        <v>2</v>
      </c>
      <c r="H25" s="25"/>
      <c r="I25" s="171" t="s">
        <v>103</v>
      </c>
      <c r="J25" s="172" t="n">
        <f aca="false">AVERAGE(G6:G25)/J23</f>
        <v>0.930232558139535</v>
      </c>
    </row>
    <row r="26" s="95" customFormat="true" ht="15.75" hidden="false" customHeight="true" outlineLevel="0" collapsed="false">
      <c r="B26" s="39"/>
      <c r="C26" s="39"/>
      <c r="D26" s="39"/>
    </row>
    <row r="27" s="84" customFormat="true" ht="24" hidden="false" customHeight="true" outlineLevel="0" collapsed="false">
      <c r="A27" s="99" t="s">
        <v>104</v>
      </c>
      <c r="B27" s="99"/>
      <c r="C27" s="99"/>
      <c r="D27" s="99"/>
      <c r="E27" s="99"/>
      <c r="F27" s="99"/>
      <c r="G27" s="99"/>
      <c r="H27" s="99"/>
      <c r="I27" s="99"/>
      <c r="J27" s="99"/>
      <c r="K27" s="99" t="s">
        <v>104</v>
      </c>
      <c r="L27" s="99"/>
      <c r="M27" s="99"/>
      <c r="N27" s="99"/>
      <c r="O27" s="99"/>
      <c r="P27" s="99"/>
      <c r="Q27" s="99"/>
      <c r="R27" s="99"/>
      <c r="S27" s="99"/>
      <c r="T27" s="99"/>
      <c r="U27" s="99"/>
    </row>
    <row r="28" customFormat="false" ht="7.5" hidden="false" customHeight="true" outlineLevel="0" collapsed="false"/>
    <row r="29" customFormat="false" ht="43.5" hidden="false" customHeight="true" outlineLevel="0" collapsed="false">
      <c r="A29" s="173" t="s">
        <v>169</v>
      </c>
      <c r="B29" s="173"/>
      <c r="C29" s="173"/>
      <c r="D29" s="173"/>
      <c r="F29" s="84"/>
      <c r="G29" s="84"/>
      <c r="H29" s="84"/>
      <c r="I29" s="84"/>
      <c r="J29" s="84"/>
    </row>
    <row r="30" customFormat="false" ht="38.25" hidden="false" customHeight="true" outlineLevel="0" collapsed="false">
      <c r="A30" s="104" t="s">
        <v>106</v>
      </c>
      <c r="B30" s="105" t="s">
        <v>107</v>
      </c>
      <c r="C30" s="105" t="s">
        <v>108</v>
      </c>
      <c r="D30" s="105" t="s">
        <v>109</v>
      </c>
      <c r="F30" s="84"/>
      <c r="G30" s="84"/>
      <c r="H30" s="84"/>
      <c r="I30" s="84"/>
    </row>
    <row r="31" customFormat="false" ht="15" hidden="false" customHeight="false" outlineLevel="0" collapsed="false">
      <c r="A31" s="129" t="s">
        <v>113</v>
      </c>
      <c r="B31" s="174" t="n">
        <f aca="false" t="array" ref="B31:B70">MMULT(DF4map!B2:U41,DF4!F6:F25)</f>
        <v>70</v>
      </c>
      <c r="C31" s="109" t="n">
        <f aca="false" t="array" ref="C31:C70">MMULT(DF4map!B2:U41,DF4!G6:G25)</f>
        <v>70</v>
      </c>
      <c r="D31" s="175" t="n">
        <f aca="false">IFERROR(MROUND(($J$25*100*B31/C31),5)-100,0)</f>
        <v>-5</v>
      </c>
    </row>
    <row r="32" customFormat="false" ht="15" hidden="false" customHeight="false" outlineLevel="0" collapsed="false">
      <c r="A32" s="129" t="s">
        <v>114</v>
      </c>
      <c r="B32" s="174" t="n">
        <v>72.5</v>
      </c>
      <c r="C32" s="109" t="n">
        <v>70</v>
      </c>
      <c r="D32" s="175" t="n">
        <f aca="false">IFERROR(MROUND(($J$25*100*B32/C32),5)-100,0)</f>
        <v>-5</v>
      </c>
      <c r="G32" s="36"/>
    </row>
    <row r="33" customFormat="false" ht="15" hidden="false" customHeight="false" outlineLevel="0" collapsed="false">
      <c r="A33" s="129" t="s">
        <v>115</v>
      </c>
      <c r="B33" s="174" t="n">
        <v>52</v>
      </c>
      <c r="C33" s="109" t="n">
        <v>47</v>
      </c>
      <c r="D33" s="175" t="n">
        <f aca="false">IFERROR(MROUND(($J$25*100*B33/C33),5)-100,0)</f>
        <v>5</v>
      </c>
    </row>
    <row r="34" customFormat="false" ht="15" hidden="false" customHeight="false" outlineLevel="0" collapsed="false">
      <c r="A34" s="129" t="s">
        <v>116</v>
      </c>
      <c r="B34" s="174" t="n">
        <v>67.5</v>
      </c>
      <c r="C34" s="109" t="n">
        <v>67</v>
      </c>
      <c r="D34" s="175" t="n">
        <f aca="false">IFERROR(MROUND(($J$25*100*B34/C34),5)-100,0)</f>
        <v>-5</v>
      </c>
    </row>
    <row r="35" customFormat="false" ht="15" hidden="false" customHeight="false" outlineLevel="0" collapsed="false">
      <c r="A35" s="129" t="s">
        <v>117</v>
      </c>
      <c r="B35" s="174" t="n">
        <v>39</v>
      </c>
      <c r="C35" s="109" t="n">
        <v>41</v>
      </c>
      <c r="D35" s="175" t="n">
        <f aca="false">IFERROR(MROUND(($J$25*100*B35/C35),5)-100,0)</f>
        <v>-10</v>
      </c>
    </row>
    <row r="36" customFormat="false" ht="15" hidden="false" customHeight="false" outlineLevel="0" collapsed="false">
      <c r="A36" s="133" t="s">
        <v>118</v>
      </c>
      <c r="B36" s="174" t="n">
        <v>59.5</v>
      </c>
      <c r="C36" s="109" t="n">
        <v>56</v>
      </c>
      <c r="D36" s="175" t="n">
        <f aca="false">IFERROR(MROUND(($J$25*100*B36/C36),5)-100,0)</f>
        <v>0</v>
      </c>
    </row>
    <row r="37" customFormat="false" ht="15" hidden="false" customHeight="false" outlineLevel="0" collapsed="false">
      <c r="A37" s="133" t="s">
        <v>119</v>
      </c>
      <c r="B37" s="174" t="n">
        <v>52</v>
      </c>
      <c r="C37" s="109" t="n">
        <v>50</v>
      </c>
      <c r="D37" s="175" t="n">
        <f aca="false">IFERROR(MROUND(($J$25*100*B37/C37),5)-100,0)</f>
        <v>-5</v>
      </c>
    </row>
    <row r="38" customFormat="false" ht="15" hidden="false" customHeight="false" outlineLevel="0" collapsed="false">
      <c r="A38" s="133" t="s">
        <v>120</v>
      </c>
      <c r="B38" s="174" t="n">
        <v>76</v>
      </c>
      <c r="C38" s="109" t="n">
        <v>66</v>
      </c>
      <c r="D38" s="175" t="n">
        <f aca="false">IFERROR(MROUND(($J$25*100*B38/C38),5)-100,0)</f>
        <v>5</v>
      </c>
    </row>
    <row r="39" customFormat="false" ht="15" hidden="false" customHeight="false" outlineLevel="0" collapsed="false">
      <c r="A39" s="133" t="s">
        <v>121</v>
      </c>
      <c r="B39" s="174" t="n">
        <v>37.5</v>
      </c>
      <c r="C39" s="109" t="n">
        <v>32</v>
      </c>
      <c r="D39" s="175" t="n">
        <f aca="false">IFERROR(MROUND(($J$25*100*B39/C39),5)-100,0)</f>
        <v>10</v>
      </c>
    </row>
    <row r="40" customFormat="false" ht="15" hidden="false" customHeight="false" outlineLevel="0" collapsed="false">
      <c r="A40" s="133" t="s">
        <v>122</v>
      </c>
      <c r="B40" s="174" t="n">
        <v>68.5</v>
      </c>
      <c r="C40" s="109" t="n">
        <v>68</v>
      </c>
      <c r="D40" s="175" t="n">
        <f aca="false">IFERROR(MROUND(($J$25*100*B40/C40),5)-100,0)</f>
        <v>-5</v>
      </c>
    </row>
    <row r="41" customFormat="false" ht="15" hidden="false" customHeight="false" outlineLevel="0" collapsed="false">
      <c r="A41" s="133" t="s">
        <v>123</v>
      </c>
      <c r="B41" s="174" t="n">
        <v>57.5</v>
      </c>
      <c r="C41" s="109" t="n">
        <v>62</v>
      </c>
      <c r="D41" s="175" t="n">
        <f aca="false">IFERROR(MROUND(($J$25*100*B41/C41),5)-100,0)</f>
        <v>-15</v>
      </c>
    </row>
    <row r="42" customFormat="false" ht="15" hidden="false" customHeight="false" outlineLevel="0" collapsed="false">
      <c r="A42" s="133" t="s">
        <v>124</v>
      </c>
      <c r="B42" s="174" t="n">
        <v>51.5</v>
      </c>
      <c r="C42" s="109" t="n">
        <v>47</v>
      </c>
      <c r="D42" s="175" t="n">
        <f aca="false">IFERROR(MROUND(($J$25*100*B42/C42),5)-100,0)</f>
        <v>0</v>
      </c>
    </row>
    <row r="43" customFormat="false" ht="15" hidden="false" customHeight="false" outlineLevel="0" collapsed="false">
      <c r="A43" s="133" t="s">
        <v>125</v>
      </c>
      <c r="B43" s="174" t="n">
        <v>68.5</v>
      </c>
      <c r="C43" s="109" t="n">
        <v>70</v>
      </c>
      <c r="D43" s="175" t="n">
        <f aca="false">IFERROR(MROUND(($J$25*100*B43/C43),5)-100,0)</f>
        <v>-10</v>
      </c>
    </row>
    <row r="44" customFormat="false" ht="15" hidden="false" customHeight="false" outlineLevel="0" collapsed="false">
      <c r="A44" s="133" t="s">
        <v>126</v>
      </c>
      <c r="B44" s="174" t="n">
        <v>44</v>
      </c>
      <c r="C44" s="109" t="n">
        <v>43</v>
      </c>
      <c r="D44" s="175" t="n">
        <f aca="false">IFERROR(MROUND(($J$25*100*B44/C44),5)-100,0)</f>
        <v>-5</v>
      </c>
    </row>
    <row r="45" customFormat="false" ht="15" hidden="false" customHeight="false" outlineLevel="0" collapsed="false">
      <c r="A45" s="133" t="s">
        <v>127</v>
      </c>
      <c r="B45" s="174" t="n">
        <v>42</v>
      </c>
      <c r="C45" s="109" t="n">
        <v>39</v>
      </c>
      <c r="D45" s="175" t="n">
        <f aca="false">IFERROR(MROUND(($J$25*100*B45/C45),5)-100,0)</f>
        <v>0</v>
      </c>
    </row>
    <row r="46" customFormat="false" ht="15" hidden="false" customHeight="false" outlineLevel="0" collapsed="false">
      <c r="A46" s="133" t="s">
        <v>128</v>
      </c>
      <c r="B46" s="174" t="n">
        <v>51.5</v>
      </c>
      <c r="C46" s="109" t="n">
        <v>43</v>
      </c>
      <c r="D46" s="175" t="n">
        <f aca="false">IFERROR(MROUND(($J$25*100*B46/C46),5)-100,0)</f>
        <v>10</v>
      </c>
    </row>
    <row r="47" customFormat="false" ht="15" hidden="false" customHeight="false" outlineLevel="0" collapsed="false">
      <c r="A47" s="133" t="s">
        <v>129</v>
      </c>
      <c r="B47" s="174" t="n">
        <v>58</v>
      </c>
      <c r="C47" s="109" t="n">
        <v>52</v>
      </c>
      <c r="D47" s="175" t="n">
        <f aca="false">IFERROR(MROUND(($J$25*100*B47/C47),5)-100,0)</f>
        <v>5</v>
      </c>
    </row>
    <row r="48" customFormat="false" ht="15" hidden="false" customHeight="false" outlineLevel="0" collapsed="false">
      <c r="A48" s="133" t="s">
        <v>130</v>
      </c>
      <c r="B48" s="174" t="n">
        <v>39.5</v>
      </c>
      <c r="C48" s="109" t="n">
        <v>33</v>
      </c>
      <c r="D48" s="175" t="n">
        <f aca="false">IFERROR(MROUND(($J$25*100*B48/C48),5)-100,0)</f>
        <v>10</v>
      </c>
    </row>
    <row r="49" customFormat="false" ht="15" hidden="false" customHeight="false" outlineLevel="0" collapsed="false">
      <c r="A49" s="133" t="s">
        <v>131</v>
      </c>
      <c r="B49" s="174" t="n">
        <v>70</v>
      </c>
      <c r="C49" s="109" t="n">
        <v>60</v>
      </c>
      <c r="D49" s="175" t="n">
        <f aca="false">IFERROR(MROUND(($J$25*100*B49/C49),5)-100,0)</f>
        <v>10</v>
      </c>
    </row>
    <row r="50" customFormat="false" ht="15" hidden="false" customHeight="false" outlineLevel="0" collapsed="false">
      <c r="A50" s="129" t="s">
        <v>170</v>
      </c>
      <c r="B50" s="174" t="n">
        <v>39.5</v>
      </c>
      <c r="C50" s="109" t="n">
        <v>35</v>
      </c>
      <c r="D50" s="175" t="n">
        <f aca="false">IFERROR(MROUND(($J$25*100*B50/C50),5)-100,0)</f>
        <v>5</v>
      </c>
    </row>
    <row r="51" customFormat="false" ht="15" hidden="false" customHeight="false" outlineLevel="0" collapsed="false">
      <c r="A51" s="129" t="s">
        <v>133</v>
      </c>
      <c r="B51" s="174" t="n">
        <v>56</v>
      </c>
      <c r="C51" s="109" t="n">
        <v>51</v>
      </c>
      <c r="D51" s="175" t="n">
        <f aca="false">IFERROR(MROUND(($J$25*100*B51/C51),5)-100,0)</f>
        <v>0</v>
      </c>
    </row>
    <row r="52" customFormat="false" ht="15" hidden="false" customHeight="false" outlineLevel="0" collapsed="false">
      <c r="A52" s="129" t="s">
        <v>134</v>
      </c>
      <c r="B52" s="174" t="n">
        <v>45</v>
      </c>
      <c r="C52" s="109" t="n">
        <v>41</v>
      </c>
      <c r="D52" s="175" t="n">
        <f aca="false">IFERROR(MROUND(($J$25*100*B52/C52),5)-100,0)</f>
        <v>0</v>
      </c>
    </row>
    <row r="53" customFormat="false" ht="15" hidden="false" customHeight="false" outlineLevel="0" collapsed="false">
      <c r="A53" s="129" t="s">
        <v>135</v>
      </c>
      <c r="B53" s="174" t="n">
        <v>25</v>
      </c>
      <c r="C53" s="109" t="n">
        <v>23</v>
      </c>
      <c r="D53" s="175" t="n">
        <f aca="false">IFERROR(MROUND(($J$25*100*B53/C53),5)-100,0)</f>
        <v>0</v>
      </c>
    </row>
    <row r="54" customFormat="false" ht="15" hidden="false" customHeight="false" outlineLevel="0" collapsed="false">
      <c r="A54" s="129" t="s">
        <v>136</v>
      </c>
      <c r="B54" s="174" t="n">
        <v>31</v>
      </c>
      <c r="C54" s="109" t="n">
        <v>28</v>
      </c>
      <c r="D54" s="175" t="n">
        <f aca="false">IFERROR(MROUND(($J$25*100*B54/C54),5)-100,0)</f>
        <v>5</v>
      </c>
    </row>
    <row r="55" customFormat="false" ht="15" hidden="false" customHeight="false" outlineLevel="0" collapsed="false">
      <c r="A55" s="129" t="s">
        <v>137</v>
      </c>
      <c r="B55" s="174" t="n">
        <v>48</v>
      </c>
      <c r="C55" s="109" t="n">
        <v>42</v>
      </c>
      <c r="D55" s="175" t="n">
        <f aca="false">IFERROR(MROUND(($J$25*100*B55/C55),5)-100,0)</f>
        <v>5</v>
      </c>
    </row>
    <row r="56" customFormat="false" ht="15" hidden="false" customHeight="false" outlineLevel="0" collapsed="false">
      <c r="A56" s="129" t="s">
        <v>138</v>
      </c>
      <c r="B56" s="174" t="n">
        <v>44.5</v>
      </c>
      <c r="C56" s="109" t="n">
        <v>38</v>
      </c>
      <c r="D56" s="175" t="n">
        <f aca="false">IFERROR(MROUND(($J$25*100*B56/C56),5)-100,0)</f>
        <v>10</v>
      </c>
    </row>
    <row r="57" customFormat="false" ht="15" hidden="false" customHeight="false" outlineLevel="0" collapsed="false">
      <c r="A57" s="129" t="s">
        <v>139</v>
      </c>
      <c r="B57" s="174" t="n">
        <v>36.5</v>
      </c>
      <c r="C57" s="109" t="n">
        <v>31</v>
      </c>
      <c r="D57" s="175" t="n">
        <f aca="false">IFERROR(MROUND(($J$25*100*B57/C57),5)-100,0)</f>
        <v>10</v>
      </c>
    </row>
    <row r="58" customFormat="false" ht="15" hidden="false" customHeight="false" outlineLevel="0" collapsed="false">
      <c r="A58" s="129" t="s">
        <v>140</v>
      </c>
      <c r="B58" s="174" t="n">
        <v>20</v>
      </c>
      <c r="C58" s="109" t="n">
        <v>23</v>
      </c>
      <c r="D58" s="175" t="n">
        <f aca="false">IFERROR(MROUND(($J$25*100*B58/C58),5)-100,0)</f>
        <v>-20</v>
      </c>
    </row>
    <row r="59" customFormat="false" ht="15" hidden="false" customHeight="false" outlineLevel="0" collapsed="false">
      <c r="A59" s="129" t="s">
        <v>141</v>
      </c>
      <c r="B59" s="174" t="n">
        <v>29</v>
      </c>
      <c r="C59" s="109" t="n">
        <v>25</v>
      </c>
      <c r="D59" s="175" t="n">
        <f aca="false">IFERROR(MROUND(($J$25*100*B59/C59),5)-100,0)</f>
        <v>10</v>
      </c>
    </row>
    <row r="60" customFormat="false" ht="15" hidden="false" customHeight="false" outlineLevel="0" collapsed="false">
      <c r="A60" s="129" t="s">
        <v>142</v>
      </c>
      <c r="B60" s="174" t="n">
        <v>50.5</v>
      </c>
      <c r="C60" s="109" t="n">
        <v>45</v>
      </c>
      <c r="D60" s="175" t="n">
        <f aca="false">IFERROR(MROUND(($J$25*100*B60/C60),5)-100,0)</f>
        <v>5</v>
      </c>
    </row>
    <row r="61" customFormat="false" ht="15" hidden="false" customHeight="false" outlineLevel="0" collapsed="false">
      <c r="A61" s="133" t="s">
        <v>143</v>
      </c>
      <c r="B61" s="174" t="n">
        <v>30</v>
      </c>
      <c r="C61" s="109" t="n">
        <v>27</v>
      </c>
      <c r="D61" s="175" t="n">
        <f aca="false">IFERROR(MROUND(($J$25*100*B61/C61),5)-100,0)</f>
        <v>5</v>
      </c>
    </row>
    <row r="62" customFormat="false" ht="15" hidden="false" customHeight="false" outlineLevel="0" collapsed="false">
      <c r="A62" s="133" t="s">
        <v>144</v>
      </c>
      <c r="B62" s="174" t="n">
        <v>37</v>
      </c>
      <c r="C62" s="109" t="n">
        <v>33</v>
      </c>
      <c r="D62" s="175" t="n">
        <f aca="false">IFERROR(MROUND(($J$25*100*B62/C62),5)-100,0)</f>
        <v>5</v>
      </c>
    </row>
    <row r="63" customFormat="false" ht="15" hidden="false" customHeight="false" outlineLevel="0" collapsed="false">
      <c r="A63" s="133" t="s">
        <v>145</v>
      </c>
      <c r="B63" s="174" t="n">
        <v>36</v>
      </c>
      <c r="C63" s="109" t="n">
        <v>32</v>
      </c>
      <c r="D63" s="175" t="n">
        <f aca="false">IFERROR(MROUND(($J$25*100*B63/C63),5)-100,0)</f>
        <v>5</v>
      </c>
    </row>
    <row r="64" customFormat="false" ht="15" hidden="false" customHeight="false" outlineLevel="0" collapsed="false">
      <c r="A64" s="133" t="s">
        <v>146</v>
      </c>
      <c r="B64" s="174" t="n">
        <v>26.5</v>
      </c>
      <c r="C64" s="109" t="n">
        <v>21</v>
      </c>
      <c r="D64" s="175" t="n">
        <f aca="false">IFERROR(MROUND(($J$25*100*B64/C64),5)-100,0)</f>
        <v>15</v>
      </c>
    </row>
    <row r="65" customFormat="false" ht="15" hidden="false" customHeight="false" outlineLevel="0" collapsed="false">
      <c r="A65" s="133" t="s">
        <v>147</v>
      </c>
      <c r="B65" s="174" t="n">
        <v>35.5</v>
      </c>
      <c r="C65" s="109" t="n">
        <v>29</v>
      </c>
      <c r="D65" s="175" t="n">
        <f aca="false">IFERROR(MROUND(($J$25*100*B65/C65),5)-100,0)</f>
        <v>15</v>
      </c>
    </row>
    <row r="66" customFormat="false" ht="15" hidden="false" customHeight="false" outlineLevel="0" collapsed="false">
      <c r="A66" s="133" t="s">
        <v>148</v>
      </c>
      <c r="B66" s="174" t="n">
        <v>34.5</v>
      </c>
      <c r="C66" s="109" t="n">
        <v>29</v>
      </c>
      <c r="D66" s="175" t="n">
        <f aca="false">IFERROR(MROUND(($J$25*100*B66/C66),5)-100,0)</f>
        <v>10</v>
      </c>
    </row>
    <row r="67" customFormat="false" ht="15" hidden="false" customHeight="false" outlineLevel="0" collapsed="false">
      <c r="A67" s="129" t="s">
        <v>149</v>
      </c>
      <c r="B67" s="174" t="n">
        <v>65.5</v>
      </c>
      <c r="C67" s="109" t="n">
        <v>61</v>
      </c>
      <c r="D67" s="175" t="n">
        <f aca="false">IFERROR(MROUND(($J$25*100*B67/C67),5)-100,0)</f>
        <v>0</v>
      </c>
    </row>
    <row r="68" customFormat="false" ht="15" hidden="false" customHeight="false" outlineLevel="0" collapsed="false">
      <c r="A68" s="129" t="s">
        <v>150</v>
      </c>
      <c r="B68" s="174" t="n">
        <v>52.5</v>
      </c>
      <c r="C68" s="109" t="n">
        <v>48</v>
      </c>
      <c r="D68" s="175" t="n">
        <f aca="false">IFERROR(MROUND(($J$25*100*B68/C68),5)-100,0)</f>
        <v>0</v>
      </c>
    </row>
    <row r="69" customFormat="false" ht="15" hidden="false" customHeight="false" outlineLevel="0" collapsed="false">
      <c r="A69" s="129" t="s">
        <v>151</v>
      </c>
      <c r="B69" s="174" t="n">
        <v>37</v>
      </c>
      <c r="C69" s="109" t="n">
        <v>29</v>
      </c>
      <c r="D69" s="175" t="n">
        <f aca="false">IFERROR(MROUND(($J$25*100*B69/C69),5)-100,0)</f>
        <v>20</v>
      </c>
    </row>
    <row r="70" customFormat="false" ht="15" hidden="false" customHeight="false" outlineLevel="0" collapsed="false">
      <c r="A70" s="129" t="s">
        <v>152</v>
      </c>
      <c r="B70" s="174" t="n">
        <v>62</v>
      </c>
      <c r="C70" s="109" t="n">
        <v>58</v>
      </c>
      <c r="D70" s="175" t="n">
        <f aca="false">IFERROR(MROUND(($J$25*100*B70/C70),5)-100,0)</f>
        <v>0</v>
      </c>
    </row>
  </sheetData>
  <mergeCells count="28">
    <mergeCell ref="A1:J1"/>
    <mergeCell ref="K1:U1"/>
    <mergeCell ref="A3:J3"/>
    <mergeCell ref="K3:U3"/>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7:J27"/>
    <mergeCell ref="K27:U27"/>
    <mergeCell ref="A29:D29"/>
  </mergeCells>
  <conditionalFormatting sqref="I6:I8">
    <cfRule type="iconSet" priority="2">
      <iconSet iconSet="3Symbols" showValue="0" reverse="1">
        <cfvo type="percent" val="0"/>
        <cfvo type="percent" val="33"/>
        <cfvo type="percent" val="67"/>
      </iconSet>
    </cfRule>
  </conditionalFormatting>
  <conditionalFormatting sqref="F6:F25">
    <cfRule type="iconSet" priority="3">
      <iconSet iconSet="3Symbols" showValue="0" reverse="1">
        <cfvo type="percent" val="0"/>
        <cfvo type="num" val="2"/>
        <cfvo type="num" val="3"/>
      </iconSet>
    </cfRule>
  </conditionalFormatting>
  <dataValidations count="1">
    <dataValidation allowBlank="true" errorStyle="stop" operator="between" showDropDown="false" showErrorMessage="true" showInputMessage="true" sqref="F6:F25" type="decimal">
      <formula1>1</formula1>
      <formula2>3</formula2>
    </dataValidation>
  </dataValidation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5" man="true" max="16383" min="0"/>
  </rowBreak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W41"/>
  <sheetViews>
    <sheetView showFormulas="false" showGridLines="false" showRowColHeaders="true" showZeros="true" rightToLeft="false" tabSelected="false" showOutlineSymbols="true" defaultGridColor="true" view="normal" topLeftCell="O1" colorId="64" zoomScale="80" zoomScaleNormal="80" zoomScalePageLayoutView="100" workbookViewId="0">
      <selection pane="topLeft" activeCell="K21" activeCellId="0" sqref="K21"/>
    </sheetView>
  </sheetViews>
  <sheetFormatPr defaultColWidth="8.859375" defaultRowHeight="15" zeroHeight="false" outlineLevelRow="0" outlineLevelCol="0"/>
  <cols>
    <col collapsed="false" customWidth="true" hidden="false" outlineLevel="0" max="2" min="2" style="36" width="24.42"/>
    <col collapsed="false" customWidth="true" hidden="false" outlineLevel="0" max="3" min="3" style="36" width="27.29"/>
    <col collapsed="false" customWidth="true" hidden="false" outlineLevel="0" max="4" min="4" style="36" width="22.15"/>
    <col collapsed="false" customWidth="true" hidden="false" outlineLevel="0" max="5" min="5" style="36" width="22.57"/>
    <col collapsed="false" customWidth="true" hidden="false" outlineLevel="0" max="6" min="6" style="36" width="21.71"/>
    <col collapsed="false" customWidth="true" hidden="false" outlineLevel="0" max="7" min="7" style="36" width="22.57"/>
    <col collapsed="false" customWidth="true" hidden="false" outlineLevel="0" max="8" min="8" style="36" width="28.57"/>
    <col collapsed="false" customWidth="true" hidden="false" outlineLevel="0" max="9" min="9" style="36" width="21.43"/>
    <col collapsed="false" customWidth="true" hidden="false" outlineLevel="0" max="10" min="10" style="36" width="22.57"/>
    <col collapsed="false" customWidth="true" hidden="false" outlineLevel="0" max="11" min="11" style="36" width="22.15"/>
    <col collapsed="false" customWidth="true" hidden="false" outlineLevel="0" max="12" min="12" style="36" width="25.85"/>
    <col collapsed="false" customWidth="true" hidden="false" outlineLevel="0" max="13" min="13" style="36" width="22.15"/>
    <col collapsed="false" customWidth="true" hidden="false" outlineLevel="0" max="14" min="14" style="36" width="22"/>
    <col collapsed="false" customWidth="true" hidden="false" outlineLevel="0" max="15" min="15" style="36" width="23"/>
    <col collapsed="false" customWidth="true" hidden="false" outlineLevel="0" max="16" min="16" style="36" width="28.14"/>
    <col collapsed="false" customWidth="true" hidden="false" outlineLevel="0" max="17" min="17" style="36" width="22.42"/>
    <col collapsed="false" customWidth="true" hidden="false" outlineLevel="0" max="18" min="18" style="36" width="26.42"/>
    <col collapsed="false" customWidth="true" hidden="false" outlineLevel="0" max="19" min="19" style="36" width="30.29"/>
    <col collapsed="false" customWidth="true" hidden="false" outlineLevel="0" max="20" min="20" style="36" width="20.57"/>
    <col collapsed="false" customWidth="true" hidden="false" outlineLevel="0" max="21" min="21" style="36" width="22.42"/>
  </cols>
  <sheetData>
    <row r="1" customFormat="false" ht="148.5" hidden="false" customHeight="true" outlineLevel="0" collapsed="false">
      <c r="A1" s="176" t="s">
        <v>19</v>
      </c>
      <c r="B1" s="52" t="s">
        <v>345</v>
      </c>
      <c r="C1" s="52" t="s">
        <v>346</v>
      </c>
      <c r="D1" s="52" t="s">
        <v>347</v>
      </c>
      <c r="E1" s="52" t="s">
        <v>348</v>
      </c>
      <c r="F1" s="52" t="s">
        <v>349</v>
      </c>
      <c r="G1" s="52" t="s">
        <v>350</v>
      </c>
      <c r="H1" s="52" t="s">
        <v>351</v>
      </c>
      <c r="I1" s="52" t="s">
        <v>352</v>
      </c>
      <c r="J1" s="52" t="s">
        <v>353</v>
      </c>
      <c r="K1" s="52" t="s">
        <v>354</v>
      </c>
      <c r="L1" s="52" t="s">
        <v>355</v>
      </c>
      <c r="M1" s="52" t="s">
        <v>356</v>
      </c>
      <c r="N1" s="52" t="s">
        <v>357</v>
      </c>
      <c r="O1" s="52" t="s">
        <v>358</v>
      </c>
      <c r="P1" s="52" t="s">
        <v>359</v>
      </c>
      <c r="Q1" s="52" t="s">
        <v>360</v>
      </c>
      <c r="R1" s="52" t="s">
        <v>361</v>
      </c>
      <c r="S1" s="52" t="s">
        <v>362</v>
      </c>
      <c r="T1" s="52" t="s">
        <v>363</v>
      </c>
      <c r="U1" s="52" t="s">
        <v>364</v>
      </c>
    </row>
    <row r="2" s="81" customFormat="true" ht="20.25" hidden="false" customHeight="true" outlineLevel="0" collapsed="false">
      <c r="A2" s="115" t="s">
        <v>113</v>
      </c>
      <c r="B2" s="177" t="n">
        <v>3</v>
      </c>
      <c r="C2" s="177" t="n">
        <v>3</v>
      </c>
      <c r="D2" s="177" t="n">
        <v>1</v>
      </c>
      <c r="E2" s="177" t="n">
        <v>1</v>
      </c>
      <c r="F2" s="177" t="n">
        <v>2</v>
      </c>
      <c r="G2" s="177" t="n">
        <v>2</v>
      </c>
      <c r="H2" s="177" t="n">
        <v>2</v>
      </c>
      <c r="I2" s="177" t="n">
        <v>1</v>
      </c>
      <c r="J2" s="177" t="n">
        <v>1</v>
      </c>
      <c r="K2" s="177" t="n">
        <v>1</v>
      </c>
      <c r="L2" s="177" t="n">
        <v>3</v>
      </c>
      <c r="M2" s="177" t="n">
        <v>3.5</v>
      </c>
      <c r="N2" s="177" t="n">
        <v>1</v>
      </c>
      <c r="O2" s="177" t="n">
        <v>1</v>
      </c>
      <c r="P2" s="177" t="n">
        <v>1</v>
      </c>
      <c r="Q2" s="177" t="n">
        <v>1</v>
      </c>
      <c r="R2" s="177" t="n">
        <v>2</v>
      </c>
      <c r="S2" s="177" t="n">
        <v>3</v>
      </c>
      <c r="T2" s="177" t="n">
        <v>1.5</v>
      </c>
      <c r="U2" s="177" t="n">
        <v>1</v>
      </c>
      <c r="W2" s="178" t="n">
        <f aca="false">SUM(B2:U2)</f>
        <v>35</v>
      </c>
    </row>
    <row r="3" s="81" customFormat="true" ht="20.25" hidden="false" customHeight="true" outlineLevel="0" collapsed="false">
      <c r="A3" s="115" t="s">
        <v>114</v>
      </c>
      <c r="B3" s="177" t="n">
        <v>2.5</v>
      </c>
      <c r="C3" s="177" t="n">
        <v>3</v>
      </c>
      <c r="D3" s="177" t="n">
        <v>1</v>
      </c>
      <c r="E3" s="177" t="n">
        <v>1</v>
      </c>
      <c r="F3" s="177" t="n">
        <v>1.5</v>
      </c>
      <c r="G3" s="177" t="n">
        <v>2.5</v>
      </c>
      <c r="H3" s="177" t="n">
        <v>2</v>
      </c>
      <c r="I3" s="177" t="n">
        <v>1.5</v>
      </c>
      <c r="J3" s="177" t="n">
        <v>0.5</v>
      </c>
      <c r="K3" s="177" t="n">
        <v>2.5</v>
      </c>
      <c r="L3" s="177" t="n">
        <v>1.5</v>
      </c>
      <c r="M3" s="177" t="n">
        <v>1</v>
      </c>
      <c r="N3" s="177" t="n">
        <v>3</v>
      </c>
      <c r="O3" s="177" t="n">
        <v>2</v>
      </c>
      <c r="P3" s="177" t="n">
        <v>1</v>
      </c>
      <c r="Q3" s="177" t="n">
        <v>1</v>
      </c>
      <c r="R3" s="177" t="n">
        <v>2</v>
      </c>
      <c r="S3" s="177" t="n">
        <v>2</v>
      </c>
      <c r="T3" s="177" t="n">
        <v>1</v>
      </c>
      <c r="U3" s="177" t="n">
        <v>2.5</v>
      </c>
      <c r="W3" s="178" t="n">
        <f aca="false">SUM(B3:U3)</f>
        <v>35</v>
      </c>
    </row>
    <row r="4" s="81" customFormat="true" ht="20.25" hidden="false" customHeight="true" outlineLevel="0" collapsed="false">
      <c r="A4" s="115" t="s">
        <v>115</v>
      </c>
      <c r="B4" s="177" t="n">
        <v>1</v>
      </c>
      <c r="C4" s="177" t="n">
        <v>1</v>
      </c>
      <c r="D4" s="177" t="n">
        <v>2</v>
      </c>
      <c r="E4" s="177" t="n">
        <v>1</v>
      </c>
      <c r="F4" s="177" t="n">
        <v>2</v>
      </c>
      <c r="G4" s="177" t="n">
        <v>2</v>
      </c>
      <c r="H4" s="177" t="n">
        <v>1</v>
      </c>
      <c r="I4" s="177" t="n">
        <v>1</v>
      </c>
      <c r="J4" s="177" t="n">
        <v>0</v>
      </c>
      <c r="K4" s="177" t="n">
        <v>0.5</v>
      </c>
      <c r="L4" s="177" t="n">
        <v>1</v>
      </c>
      <c r="M4" s="177" t="n">
        <v>0</v>
      </c>
      <c r="N4" s="177" t="n">
        <v>1</v>
      </c>
      <c r="O4" s="177" t="n">
        <v>1.5</v>
      </c>
      <c r="P4" s="177" t="n">
        <v>1</v>
      </c>
      <c r="Q4" s="177" t="n">
        <v>2</v>
      </c>
      <c r="R4" s="177" t="n">
        <v>1</v>
      </c>
      <c r="S4" s="177" t="n">
        <v>1</v>
      </c>
      <c r="T4" s="177" t="n">
        <v>2.5</v>
      </c>
      <c r="U4" s="177" t="n">
        <v>1</v>
      </c>
      <c r="W4" s="178" t="n">
        <f aca="false">SUM(B4:U4)</f>
        <v>23.5</v>
      </c>
    </row>
    <row r="5" s="81" customFormat="true" ht="20.25" hidden="false" customHeight="true" outlineLevel="0" collapsed="false">
      <c r="A5" s="115" t="s">
        <v>116</v>
      </c>
      <c r="B5" s="177" t="n">
        <v>1</v>
      </c>
      <c r="C5" s="177" t="n">
        <v>1</v>
      </c>
      <c r="D5" s="177" t="n">
        <v>1</v>
      </c>
      <c r="E5" s="177" t="n">
        <v>1</v>
      </c>
      <c r="F5" s="177" t="n">
        <v>1</v>
      </c>
      <c r="G5" s="177" t="n">
        <v>2</v>
      </c>
      <c r="H5" s="177" t="n">
        <v>3</v>
      </c>
      <c r="I5" s="177" t="n">
        <v>3.5</v>
      </c>
      <c r="J5" s="177" t="n">
        <v>3.5</v>
      </c>
      <c r="K5" s="177" t="n">
        <v>1</v>
      </c>
      <c r="L5" s="177" t="n">
        <v>1.5</v>
      </c>
      <c r="M5" s="177" t="n">
        <v>0</v>
      </c>
      <c r="N5" s="177" t="n">
        <v>4</v>
      </c>
      <c r="O5" s="177" t="n">
        <v>2</v>
      </c>
      <c r="P5" s="177" t="n">
        <v>1</v>
      </c>
      <c r="Q5" s="177" t="n">
        <v>1.5</v>
      </c>
      <c r="R5" s="177" t="n">
        <v>2</v>
      </c>
      <c r="S5" s="177" t="n">
        <v>2.5</v>
      </c>
      <c r="T5" s="177" t="n">
        <v>0</v>
      </c>
      <c r="U5" s="177" t="n">
        <v>1</v>
      </c>
      <c r="W5" s="178" t="n">
        <f aca="false">SUM(B5:U5)</f>
        <v>33.5</v>
      </c>
    </row>
    <row r="6" s="81" customFormat="true" ht="20.25" hidden="false" customHeight="true" outlineLevel="0" collapsed="false">
      <c r="A6" s="115" t="s">
        <v>117</v>
      </c>
      <c r="B6" s="177" t="n">
        <v>1</v>
      </c>
      <c r="C6" s="177" t="n">
        <v>1</v>
      </c>
      <c r="D6" s="177" t="n">
        <v>1</v>
      </c>
      <c r="E6" s="177" t="n">
        <v>1</v>
      </c>
      <c r="F6" s="177" t="n">
        <v>1.5</v>
      </c>
      <c r="G6" s="177" t="n">
        <v>2</v>
      </c>
      <c r="H6" s="177" t="n">
        <v>1</v>
      </c>
      <c r="I6" s="177" t="n">
        <v>1</v>
      </c>
      <c r="J6" s="177" t="n">
        <v>0</v>
      </c>
      <c r="K6" s="177" t="n">
        <v>1</v>
      </c>
      <c r="L6" s="177" t="n">
        <v>3</v>
      </c>
      <c r="M6" s="177" t="n">
        <v>1.5</v>
      </c>
      <c r="N6" s="177" t="n">
        <v>1.5</v>
      </c>
      <c r="O6" s="177" t="n">
        <v>0.5</v>
      </c>
      <c r="P6" s="177" t="n">
        <v>0</v>
      </c>
      <c r="Q6" s="177" t="n">
        <v>0.5</v>
      </c>
      <c r="R6" s="177" t="n">
        <v>1</v>
      </c>
      <c r="S6" s="177" t="n">
        <v>1</v>
      </c>
      <c r="T6" s="177" t="n">
        <v>1</v>
      </c>
      <c r="U6" s="177" t="n">
        <v>0</v>
      </c>
      <c r="W6" s="178" t="n">
        <f aca="false">SUM(B6:U6)</f>
        <v>20.5</v>
      </c>
    </row>
    <row r="7" s="81" customFormat="true" ht="20.25" hidden="false" customHeight="true" outlineLevel="0" collapsed="false">
      <c r="A7" s="117" t="s">
        <v>118</v>
      </c>
      <c r="B7" s="177" t="n">
        <v>2</v>
      </c>
      <c r="C7" s="177" t="n">
        <v>1</v>
      </c>
      <c r="D7" s="177" t="n">
        <v>2</v>
      </c>
      <c r="E7" s="177" t="n">
        <v>1</v>
      </c>
      <c r="F7" s="177" t="n">
        <v>2</v>
      </c>
      <c r="G7" s="177" t="n">
        <v>2</v>
      </c>
      <c r="H7" s="177" t="n">
        <v>1</v>
      </c>
      <c r="I7" s="177" t="n">
        <v>1</v>
      </c>
      <c r="J7" s="177" t="n">
        <v>0</v>
      </c>
      <c r="K7" s="177" t="n">
        <v>0.5</v>
      </c>
      <c r="L7" s="177" t="n">
        <v>1.5</v>
      </c>
      <c r="M7" s="177" t="n">
        <v>4</v>
      </c>
      <c r="N7" s="177" t="n">
        <v>1</v>
      </c>
      <c r="O7" s="177" t="n">
        <v>2</v>
      </c>
      <c r="P7" s="177" t="n">
        <v>1</v>
      </c>
      <c r="Q7" s="177" t="n">
        <v>1</v>
      </c>
      <c r="R7" s="177" t="n">
        <v>1.5</v>
      </c>
      <c r="S7" s="177" t="n">
        <v>2</v>
      </c>
      <c r="T7" s="177" t="n">
        <v>0.5</v>
      </c>
      <c r="U7" s="177" t="n">
        <v>1</v>
      </c>
      <c r="W7" s="178" t="n">
        <f aca="false">SUM(B7:U7)</f>
        <v>28</v>
      </c>
    </row>
    <row r="8" s="81" customFormat="true" ht="20.25" hidden="false" customHeight="true" outlineLevel="0" collapsed="false">
      <c r="A8" s="117" t="s">
        <v>119</v>
      </c>
      <c r="B8" s="177" t="n">
        <v>1.5</v>
      </c>
      <c r="C8" s="177" t="n">
        <v>1.5</v>
      </c>
      <c r="D8" s="177" t="n">
        <v>1.5</v>
      </c>
      <c r="E8" s="177" t="n">
        <v>1.5</v>
      </c>
      <c r="F8" s="177" t="n">
        <v>1</v>
      </c>
      <c r="G8" s="177" t="n">
        <v>1.5</v>
      </c>
      <c r="H8" s="177" t="n">
        <v>1</v>
      </c>
      <c r="I8" s="177" t="n">
        <v>1</v>
      </c>
      <c r="J8" s="177" t="n">
        <v>0</v>
      </c>
      <c r="K8" s="177" t="n">
        <v>1</v>
      </c>
      <c r="L8" s="177" t="n">
        <v>2.5</v>
      </c>
      <c r="M8" s="177" t="n">
        <v>0.5</v>
      </c>
      <c r="N8" s="177" t="n">
        <v>0.5</v>
      </c>
      <c r="O8" s="177" t="n">
        <v>1.5</v>
      </c>
      <c r="P8" s="177" t="n">
        <v>1.5</v>
      </c>
      <c r="Q8" s="177" t="n">
        <v>0.5</v>
      </c>
      <c r="R8" s="177" t="n">
        <v>2</v>
      </c>
      <c r="S8" s="177" t="n">
        <v>2</v>
      </c>
      <c r="T8" s="177" t="n">
        <v>0</v>
      </c>
      <c r="U8" s="177" t="n">
        <v>2.5</v>
      </c>
      <c r="W8" s="178" t="n">
        <f aca="false">SUM(B8:U8)</f>
        <v>25</v>
      </c>
    </row>
    <row r="9" s="181" customFormat="true" ht="20.25" hidden="false" customHeight="true" outlineLevel="0" collapsed="false">
      <c r="A9" s="179" t="s">
        <v>120</v>
      </c>
      <c r="B9" s="180" t="n">
        <v>1</v>
      </c>
      <c r="C9" s="180" t="n">
        <v>1.5</v>
      </c>
      <c r="D9" s="180" t="n">
        <v>1</v>
      </c>
      <c r="E9" s="180" t="n">
        <v>2</v>
      </c>
      <c r="F9" s="180" t="n">
        <v>0.5</v>
      </c>
      <c r="G9" s="180" t="n">
        <v>1.5</v>
      </c>
      <c r="H9" s="180" t="n">
        <v>2</v>
      </c>
      <c r="I9" s="180" t="n">
        <v>1.5</v>
      </c>
      <c r="J9" s="180" t="n">
        <v>1</v>
      </c>
      <c r="K9" s="180" t="n">
        <v>3.5</v>
      </c>
      <c r="L9" s="180" t="n">
        <v>0.5</v>
      </c>
      <c r="M9" s="180" t="n">
        <v>0.5</v>
      </c>
      <c r="N9" s="180" t="n">
        <v>1</v>
      </c>
      <c r="O9" s="180" t="n">
        <v>4</v>
      </c>
      <c r="P9" s="180" t="n">
        <v>1</v>
      </c>
      <c r="Q9" s="180" t="n">
        <v>3.5</v>
      </c>
      <c r="R9" s="180" t="n">
        <v>2</v>
      </c>
      <c r="S9" s="180" t="n">
        <v>3</v>
      </c>
      <c r="T9" s="180" t="n">
        <v>0</v>
      </c>
      <c r="U9" s="180" t="n">
        <v>2</v>
      </c>
      <c r="W9" s="182" t="n">
        <f aca="false">SUM(B9:U9)</f>
        <v>33</v>
      </c>
    </row>
    <row r="10" s="181" customFormat="true" ht="20.25" hidden="false" customHeight="true" outlineLevel="0" collapsed="false">
      <c r="A10" s="179" t="s">
        <v>121</v>
      </c>
      <c r="B10" s="180" t="n">
        <v>1</v>
      </c>
      <c r="C10" s="180" t="n">
        <v>1</v>
      </c>
      <c r="D10" s="180" t="n">
        <v>1</v>
      </c>
      <c r="E10" s="180" t="n">
        <v>1</v>
      </c>
      <c r="F10" s="180" t="n">
        <v>0.5</v>
      </c>
      <c r="G10" s="180" t="n">
        <v>0.5</v>
      </c>
      <c r="H10" s="180" t="n">
        <v>0.5</v>
      </c>
      <c r="I10" s="180" t="n">
        <v>0.5</v>
      </c>
      <c r="J10" s="180" t="n">
        <v>0</v>
      </c>
      <c r="K10" s="180" t="n">
        <v>0</v>
      </c>
      <c r="L10" s="180" t="n">
        <v>0.5</v>
      </c>
      <c r="M10" s="180" t="n">
        <v>1</v>
      </c>
      <c r="N10" s="180" t="n">
        <v>0.5</v>
      </c>
      <c r="O10" s="180" t="n">
        <v>2</v>
      </c>
      <c r="P10" s="180" t="n">
        <v>1</v>
      </c>
      <c r="Q10" s="180" t="n">
        <v>0</v>
      </c>
      <c r="R10" s="180" t="n">
        <v>0.5</v>
      </c>
      <c r="S10" s="180" t="n">
        <v>0.5</v>
      </c>
      <c r="T10" s="180" t="n">
        <v>0</v>
      </c>
      <c r="U10" s="180" t="n">
        <v>4</v>
      </c>
      <c r="W10" s="182" t="n">
        <f aca="false">SUM(B10:U10)</f>
        <v>16</v>
      </c>
    </row>
    <row r="11" s="181" customFormat="true" ht="20.25" hidden="false" customHeight="true" outlineLevel="0" collapsed="false">
      <c r="A11" s="179" t="s">
        <v>122</v>
      </c>
      <c r="B11" s="180" t="n">
        <v>3</v>
      </c>
      <c r="C11" s="180" t="n">
        <v>3</v>
      </c>
      <c r="D11" s="180" t="n">
        <v>1</v>
      </c>
      <c r="E11" s="180" t="n">
        <v>1.5</v>
      </c>
      <c r="F11" s="180" t="n">
        <v>2</v>
      </c>
      <c r="G11" s="180" t="n">
        <v>2</v>
      </c>
      <c r="H11" s="180" t="n">
        <v>1.5</v>
      </c>
      <c r="I11" s="180" t="n">
        <v>3.5</v>
      </c>
      <c r="J11" s="180" t="n">
        <v>0.5</v>
      </c>
      <c r="K11" s="180" t="n">
        <v>2</v>
      </c>
      <c r="L11" s="180" t="n">
        <v>2</v>
      </c>
      <c r="M11" s="180" t="n">
        <v>1.5</v>
      </c>
      <c r="N11" s="180" t="n">
        <v>2</v>
      </c>
      <c r="O11" s="180" t="n">
        <v>1</v>
      </c>
      <c r="P11" s="180" t="n">
        <v>0.5</v>
      </c>
      <c r="Q11" s="180" t="n">
        <v>0</v>
      </c>
      <c r="R11" s="180" t="n">
        <v>2.5</v>
      </c>
      <c r="S11" s="180" t="n">
        <v>2.5</v>
      </c>
      <c r="T11" s="180" t="n">
        <v>0</v>
      </c>
      <c r="U11" s="180" t="n">
        <v>2</v>
      </c>
      <c r="W11" s="182" t="n">
        <f aca="false">SUM(B11:U11)</f>
        <v>34</v>
      </c>
    </row>
    <row r="12" s="81" customFormat="true" ht="20.25" hidden="false" customHeight="true" outlineLevel="0" collapsed="false">
      <c r="A12" s="117" t="s">
        <v>123</v>
      </c>
      <c r="B12" s="177" t="n">
        <v>3.5</v>
      </c>
      <c r="C12" s="177" t="n">
        <v>2</v>
      </c>
      <c r="D12" s="177" t="n">
        <v>1</v>
      </c>
      <c r="E12" s="177" t="n">
        <v>1.5</v>
      </c>
      <c r="F12" s="177" t="n">
        <v>1.5</v>
      </c>
      <c r="G12" s="177" t="n">
        <v>2</v>
      </c>
      <c r="H12" s="177" t="n">
        <v>4</v>
      </c>
      <c r="I12" s="177" t="n">
        <v>3</v>
      </c>
      <c r="J12" s="177" t="n">
        <v>1</v>
      </c>
      <c r="K12" s="177" t="n">
        <v>2</v>
      </c>
      <c r="L12" s="177" t="n">
        <v>1</v>
      </c>
      <c r="M12" s="177" t="n">
        <v>1.5</v>
      </c>
      <c r="N12" s="177" t="n">
        <v>4</v>
      </c>
      <c r="O12" s="177" t="n">
        <v>0</v>
      </c>
      <c r="P12" s="177" t="n">
        <v>0</v>
      </c>
      <c r="Q12" s="177" t="n">
        <v>0</v>
      </c>
      <c r="R12" s="177" t="n">
        <v>1</v>
      </c>
      <c r="S12" s="177" t="n">
        <v>2</v>
      </c>
      <c r="T12" s="177" t="n">
        <v>0</v>
      </c>
      <c r="U12" s="177" t="n">
        <v>0</v>
      </c>
      <c r="W12" s="178" t="n">
        <f aca="false">SUM(B12:U12)</f>
        <v>31</v>
      </c>
    </row>
    <row r="13" s="81" customFormat="true" ht="20.25" hidden="false" customHeight="true" outlineLevel="0" collapsed="false">
      <c r="A13" s="117" t="s">
        <v>124</v>
      </c>
      <c r="B13" s="177" t="n">
        <v>1.5</v>
      </c>
      <c r="C13" s="177" t="n">
        <v>1</v>
      </c>
      <c r="D13" s="177" t="n">
        <v>1</v>
      </c>
      <c r="E13" s="177" t="n">
        <v>1</v>
      </c>
      <c r="F13" s="177" t="n">
        <v>1</v>
      </c>
      <c r="G13" s="177" t="n">
        <v>1.5</v>
      </c>
      <c r="H13" s="177" t="n">
        <v>2</v>
      </c>
      <c r="I13" s="177" t="n">
        <v>2</v>
      </c>
      <c r="J13" s="177" t="n">
        <v>4</v>
      </c>
      <c r="K13" s="177" t="n">
        <v>1</v>
      </c>
      <c r="L13" s="177" t="n">
        <v>0</v>
      </c>
      <c r="M13" s="177" t="n">
        <v>0</v>
      </c>
      <c r="N13" s="177" t="n">
        <v>1</v>
      </c>
      <c r="O13" s="177" t="n">
        <v>0</v>
      </c>
      <c r="P13" s="177" t="n">
        <v>3</v>
      </c>
      <c r="Q13" s="177" t="n">
        <v>0</v>
      </c>
      <c r="R13" s="177" t="n">
        <v>0.5</v>
      </c>
      <c r="S13" s="177" t="n">
        <v>0.5</v>
      </c>
      <c r="T13" s="177" t="n">
        <v>1.5</v>
      </c>
      <c r="U13" s="177" t="n">
        <v>1</v>
      </c>
      <c r="W13" s="178" t="n">
        <f aca="false">SUM(B13:U13)</f>
        <v>23.5</v>
      </c>
    </row>
    <row r="14" s="81" customFormat="true" ht="20.25" hidden="false" customHeight="true" outlineLevel="0" collapsed="false">
      <c r="A14" s="117" t="s">
        <v>125</v>
      </c>
      <c r="B14" s="177" t="n">
        <v>2.5</v>
      </c>
      <c r="C14" s="177" t="n">
        <v>2</v>
      </c>
      <c r="D14" s="177" t="n">
        <v>1</v>
      </c>
      <c r="E14" s="177" t="n">
        <v>2.5</v>
      </c>
      <c r="F14" s="177" t="n">
        <v>1.5</v>
      </c>
      <c r="G14" s="177" t="n">
        <v>1</v>
      </c>
      <c r="H14" s="177" t="n">
        <v>2.5</v>
      </c>
      <c r="I14" s="177" t="n">
        <v>2</v>
      </c>
      <c r="J14" s="177" t="n">
        <v>1.5</v>
      </c>
      <c r="K14" s="177" t="n">
        <v>1</v>
      </c>
      <c r="L14" s="177" t="n">
        <v>3</v>
      </c>
      <c r="M14" s="177" t="n">
        <v>1</v>
      </c>
      <c r="N14" s="177" t="n">
        <v>0.5</v>
      </c>
      <c r="O14" s="177" t="n">
        <v>1</v>
      </c>
      <c r="P14" s="177" t="n">
        <v>4</v>
      </c>
      <c r="Q14" s="177" t="n">
        <v>1</v>
      </c>
      <c r="R14" s="177" t="n">
        <v>3</v>
      </c>
      <c r="S14" s="177" t="n">
        <v>3.5</v>
      </c>
      <c r="T14" s="177" t="n">
        <v>0</v>
      </c>
      <c r="U14" s="177" t="n">
        <v>0.5</v>
      </c>
      <c r="W14" s="178" t="n">
        <f aca="false">SUM(B14:U14)</f>
        <v>35</v>
      </c>
    </row>
    <row r="15" s="81" customFormat="true" ht="20.25" hidden="false" customHeight="true" outlineLevel="0" collapsed="false">
      <c r="A15" s="117" t="s">
        <v>126</v>
      </c>
      <c r="B15" s="177" t="n">
        <v>2</v>
      </c>
      <c r="C15" s="177" t="n">
        <v>1.5</v>
      </c>
      <c r="D15" s="177" t="n">
        <v>2</v>
      </c>
      <c r="E15" s="177" t="n">
        <v>4</v>
      </c>
      <c r="F15" s="177" t="n">
        <v>1</v>
      </c>
      <c r="G15" s="177" t="n">
        <v>2.5</v>
      </c>
      <c r="H15" s="177" t="n">
        <v>1.5</v>
      </c>
      <c r="I15" s="177" t="n">
        <v>2</v>
      </c>
      <c r="J15" s="177" t="n">
        <v>0.5</v>
      </c>
      <c r="K15" s="177" t="n">
        <v>1</v>
      </c>
      <c r="L15" s="177" t="n">
        <v>0</v>
      </c>
      <c r="M15" s="177" t="n">
        <v>0</v>
      </c>
      <c r="N15" s="177" t="n">
        <v>1</v>
      </c>
      <c r="O15" s="177" t="n">
        <v>0</v>
      </c>
      <c r="P15" s="177" t="n">
        <v>0</v>
      </c>
      <c r="Q15" s="177" t="n">
        <v>0</v>
      </c>
      <c r="R15" s="177" t="n">
        <v>1</v>
      </c>
      <c r="S15" s="177" t="n">
        <v>1.5</v>
      </c>
      <c r="T15" s="177" t="n">
        <v>0</v>
      </c>
      <c r="U15" s="177" t="n">
        <v>0</v>
      </c>
      <c r="W15" s="178" t="n">
        <f aca="false">SUM(B15:U15)</f>
        <v>21.5</v>
      </c>
    </row>
    <row r="16" s="81" customFormat="true" ht="20.25" hidden="false" customHeight="true" outlineLevel="0" collapsed="false">
      <c r="A16" s="117" t="s">
        <v>127</v>
      </c>
      <c r="B16" s="177" t="n">
        <v>1</v>
      </c>
      <c r="C16" s="177" t="n">
        <v>1</v>
      </c>
      <c r="D16" s="177" t="n">
        <v>2</v>
      </c>
      <c r="E16" s="177" t="n">
        <v>4</v>
      </c>
      <c r="F16" s="177" t="n">
        <v>1.5</v>
      </c>
      <c r="G16" s="177" t="n">
        <v>1.5</v>
      </c>
      <c r="H16" s="177" t="n">
        <v>1.5</v>
      </c>
      <c r="I16" s="177" t="n">
        <v>0</v>
      </c>
      <c r="J16" s="177" t="n">
        <v>1.5</v>
      </c>
      <c r="K16" s="177" t="n">
        <v>1</v>
      </c>
      <c r="L16" s="177" t="n">
        <v>0</v>
      </c>
      <c r="M16" s="177" t="n">
        <v>0</v>
      </c>
      <c r="N16" s="177" t="n">
        <v>1</v>
      </c>
      <c r="O16" s="177" t="n">
        <v>0</v>
      </c>
      <c r="P16" s="177" t="n">
        <v>0</v>
      </c>
      <c r="Q16" s="177" t="n">
        <v>0</v>
      </c>
      <c r="R16" s="177" t="n">
        <v>0.5</v>
      </c>
      <c r="S16" s="177" t="n">
        <v>2</v>
      </c>
      <c r="T16" s="177" t="n">
        <v>1</v>
      </c>
      <c r="U16" s="177" t="n">
        <v>0</v>
      </c>
      <c r="W16" s="178" t="n">
        <f aca="false">SUM(B16:U16)</f>
        <v>19.5</v>
      </c>
    </row>
    <row r="17" s="181" customFormat="true" ht="20.25" hidden="false" customHeight="true" outlineLevel="0" collapsed="false">
      <c r="A17" s="179" t="s">
        <v>128</v>
      </c>
      <c r="B17" s="180" t="n">
        <v>1</v>
      </c>
      <c r="C17" s="180" t="n">
        <v>1</v>
      </c>
      <c r="D17" s="180" t="n">
        <v>3</v>
      </c>
      <c r="E17" s="180" t="n">
        <v>1.5</v>
      </c>
      <c r="F17" s="180" t="n">
        <v>1</v>
      </c>
      <c r="G17" s="180" t="n">
        <v>3</v>
      </c>
      <c r="H17" s="180" t="n">
        <v>0</v>
      </c>
      <c r="I17" s="180" t="n">
        <v>0</v>
      </c>
      <c r="J17" s="180" t="n">
        <v>0</v>
      </c>
      <c r="K17" s="180" t="n">
        <v>2</v>
      </c>
      <c r="L17" s="180" t="n">
        <v>0</v>
      </c>
      <c r="M17" s="180" t="n">
        <v>0</v>
      </c>
      <c r="N17" s="180" t="n">
        <v>0</v>
      </c>
      <c r="O17" s="180" t="n">
        <v>0.5</v>
      </c>
      <c r="P17" s="180" t="n">
        <v>0.5</v>
      </c>
      <c r="Q17" s="180" t="n">
        <v>3</v>
      </c>
      <c r="R17" s="180" t="n">
        <v>2</v>
      </c>
      <c r="S17" s="180" t="n">
        <v>2</v>
      </c>
      <c r="T17" s="180" t="n">
        <v>0</v>
      </c>
      <c r="U17" s="180" t="n">
        <v>1</v>
      </c>
      <c r="W17" s="182" t="n">
        <f aca="false">SUM(B17:U17)</f>
        <v>21.5</v>
      </c>
    </row>
    <row r="18" s="81" customFormat="true" ht="20.25" hidden="false" customHeight="true" outlineLevel="0" collapsed="false">
      <c r="A18" s="117" t="s">
        <v>129</v>
      </c>
      <c r="B18" s="177" t="n">
        <v>1</v>
      </c>
      <c r="C18" s="177" t="n">
        <v>0.5</v>
      </c>
      <c r="D18" s="177" t="n">
        <v>2.5</v>
      </c>
      <c r="E18" s="177" t="n">
        <v>1.5</v>
      </c>
      <c r="F18" s="177" t="n">
        <v>2</v>
      </c>
      <c r="G18" s="177" t="n">
        <v>2</v>
      </c>
      <c r="H18" s="177" t="n">
        <v>1</v>
      </c>
      <c r="I18" s="177" t="n">
        <v>1</v>
      </c>
      <c r="J18" s="177" t="n">
        <v>0.5</v>
      </c>
      <c r="K18" s="177" t="n">
        <v>1</v>
      </c>
      <c r="L18" s="177" t="n">
        <v>1</v>
      </c>
      <c r="M18" s="177" t="n">
        <v>1</v>
      </c>
      <c r="N18" s="177" t="n">
        <v>1</v>
      </c>
      <c r="O18" s="177" t="n">
        <v>1</v>
      </c>
      <c r="P18" s="177" t="n">
        <v>1</v>
      </c>
      <c r="Q18" s="177" t="n">
        <v>2</v>
      </c>
      <c r="R18" s="177" t="n">
        <v>1</v>
      </c>
      <c r="S18" s="177" t="n">
        <v>1.5</v>
      </c>
      <c r="T18" s="177" t="n">
        <v>2.5</v>
      </c>
      <c r="U18" s="177" t="n">
        <v>1</v>
      </c>
      <c r="W18" s="178" t="n">
        <f aca="false">SUM(B18:U18)</f>
        <v>26</v>
      </c>
    </row>
    <row r="19" s="81" customFormat="true" ht="20.25" hidden="false" customHeight="true" outlineLevel="0" collapsed="false">
      <c r="A19" s="117" t="s">
        <v>130</v>
      </c>
      <c r="B19" s="177" t="n">
        <v>0</v>
      </c>
      <c r="C19" s="177" t="n">
        <v>0</v>
      </c>
      <c r="D19" s="177" t="n">
        <v>3.5</v>
      </c>
      <c r="E19" s="177" t="n">
        <v>1</v>
      </c>
      <c r="F19" s="177" t="n">
        <v>2</v>
      </c>
      <c r="G19" s="177" t="n">
        <v>1</v>
      </c>
      <c r="H19" s="177" t="n">
        <v>0</v>
      </c>
      <c r="I19" s="177" t="n">
        <v>1</v>
      </c>
      <c r="J19" s="177" t="n">
        <v>0</v>
      </c>
      <c r="K19" s="177" t="n">
        <v>0.5</v>
      </c>
      <c r="L19" s="177" t="n">
        <v>0</v>
      </c>
      <c r="M19" s="177" t="n">
        <v>0</v>
      </c>
      <c r="N19" s="177" t="n">
        <v>0</v>
      </c>
      <c r="O19" s="177" t="n">
        <v>0</v>
      </c>
      <c r="P19" s="177" t="n">
        <v>0</v>
      </c>
      <c r="Q19" s="177" t="n">
        <v>1.5</v>
      </c>
      <c r="R19" s="177" t="n">
        <v>2</v>
      </c>
      <c r="S19" s="177" t="n">
        <v>1</v>
      </c>
      <c r="T19" s="177" t="n">
        <v>2</v>
      </c>
      <c r="U19" s="177" t="n">
        <v>1</v>
      </c>
      <c r="W19" s="178" t="n">
        <f aca="false">SUM(B19:U19)</f>
        <v>16.5</v>
      </c>
    </row>
    <row r="20" s="81" customFormat="true" ht="20.25" hidden="false" customHeight="true" outlineLevel="0" collapsed="false">
      <c r="A20" s="117" t="s">
        <v>131</v>
      </c>
      <c r="B20" s="177" t="n">
        <v>1</v>
      </c>
      <c r="C20" s="177" t="n">
        <v>1.5</v>
      </c>
      <c r="D20" s="177" t="n">
        <v>3</v>
      </c>
      <c r="E20" s="177" t="n">
        <v>1</v>
      </c>
      <c r="F20" s="177" t="n">
        <v>2.5</v>
      </c>
      <c r="G20" s="177" t="n">
        <v>1.5</v>
      </c>
      <c r="H20" s="177" t="n">
        <v>1</v>
      </c>
      <c r="I20" s="177" t="n">
        <v>1.5</v>
      </c>
      <c r="J20" s="177" t="n">
        <v>0</v>
      </c>
      <c r="K20" s="177" t="n">
        <v>1.5</v>
      </c>
      <c r="L20" s="177" t="n">
        <v>0</v>
      </c>
      <c r="M20" s="177" t="n">
        <v>0</v>
      </c>
      <c r="N20" s="177" t="n">
        <v>0.5</v>
      </c>
      <c r="O20" s="177" t="n">
        <v>2.5</v>
      </c>
      <c r="P20" s="177" t="n">
        <v>0.5</v>
      </c>
      <c r="Q20" s="177" t="n">
        <v>4</v>
      </c>
      <c r="R20" s="177" t="n">
        <v>2.5</v>
      </c>
      <c r="S20" s="177" t="n">
        <v>2</v>
      </c>
      <c r="T20" s="177" t="n">
        <v>3</v>
      </c>
      <c r="U20" s="177" t="n">
        <v>0.5</v>
      </c>
      <c r="W20" s="178" t="n">
        <f aca="false">SUM(B20:U20)</f>
        <v>30</v>
      </c>
    </row>
    <row r="21" s="181" customFormat="true" ht="20.25" hidden="false" customHeight="true" outlineLevel="0" collapsed="false">
      <c r="A21" s="183" t="s">
        <v>132</v>
      </c>
      <c r="B21" s="180" t="n">
        <v>0</v>
      </c>
      <c r="C21" s="180" t="n">
        <v>1</v>
      </c>
      <c r="D21" s="180" t="n">
        <v>1.5</v>
      </c>
      <c r="E21" s="180" t="n">
        <v>0</v>
      </c>
      <c r="F21" s="180" t="n">
        <v>0</v>
      </c>
      <c r="G21" s="180" t="n">
        <v>0</v>
      </c>
      <c r="H21" s="180" t="n">
        <v>0</v>
      </c>
      <c r="I21" s="180" t="n">
        <v>3</v>
      </c>
      <c r="J21" s="180" t="n">
        <v>1</v>
      </c>
      <c r="K21" s="180" t="n">
        <v>3.5</v>
      </c>
      <c r="L21" s="180" t="n">
        <v>0</v>
      </c>
      <c r="M21" s="180" t="n">
        <v>0</v>
      </c>
      <c r="N21" s="180" t="n">
        <v>1.5</v>
      </c>
      <c r="O21" s="180" t="n">
        <v>0.5</v>
      </c>
      <c r="P21" s="180" t="n">
        <v>1</v>
      </c>
      <c r="Q21" s="180" t="n">
        <v>0</v>
      </c>
      <c r="R21" s="180" t="n">
        <v>1.5</v>
      </c>
      <c r="S21" s="180" t="n">
        <v>2</v>
      </c>
      <c r="T21" s="180" t="n">
        <v>0</v>
      </c>
      <c r="U21" s="180" t="n">
        <v>1</v>
      </c>
      <c r="W21" s="182" t="n">
        <f aca="false">SUM(B21:U21)</f>
        <v>17.5</v>
      </c>
    </row>
    <row r="22" s="81" customFormat="true" ht="20.25" hidden="false" customHeight="true" outlineLevel="0" collapsed="false">
      <c r="A22" s="115" t="s">
        <v>133</v>
      </c>
      <c r="B22" s="177" t="n">
        <v>0</v>
      </c>
      <c r="C22" s="177" t="n">
        <v>3</v>
      </c>
      <c r="D22" s="177" t="n">
        <v>0</v>
      </c>
      <c r="E22" s="177" t="n">
        <v>0</v>
      </c>
      <c r="F22" s="177" t="n">
        <v>0.5</v>
      </c>
      <c r="G22" s="177" t="n">
        <v>2</v>
      </c>
      <c r="H22" s="177" t="n">
        <v>0</v>
      </c>
      <c r="I22" s="177" t="n">
        <v>2</v>
      </c>
      <c r="J22" s="177" t="n">
        <v>0</v>
      </c>
      <c r="K22" s="177" t="n">
        <v>3.5</v>
      </c>
      <c r="L22" s="177" t="n">
        <v>0</v>
      </c>
      <c r="M22" s="177" t="n">
        <v>1</v>
      </c>
      <c r="N22" s="177" t="n">
        <v>1</v>
      </c>
      <c r="O22" s="177" t="n">
        <v>2</v>
      </c>
      <c r="P22" s="177" t="n">
        <v>2</v>
      </c>
      <c r="Q22" s="177" t="n">
        <v>1.5</v>
      </c>
      <c r="R22" s="177" t="n">
        <v>2.5</v>
      </c>
      <c r="S22" s="177" t="n">
        <v>3</v>
      </c>
      <c r="T22" s="177" t="n">
        <v>0.5</v>
      </c>
      <c r="U22" s="177" t="n">
        <v>1</v>
      </c>
      <c r="W22" s="178" t="n">
        <f aca="false">SUM(B22:U22)</f>
        <v>25.5</v>
      </c>
    </row>
    <row r="23" s="81" customFormat="true" ht="20.25" hidden="false" customHeight="true" outlineLevel="0" collapsed="false">
      <c r="A23" s="115" t="s">
        <v>134</v>
      </c>
      <c r="B23" s="177" t="n">
        <v>1</v>
      </c>
      <c r="C23" s="177" t="n">
        <v>2</v>
      </c>
      <c r="D23" s="177" t="n">
        <v>2</v>
      </c>
      <c r="E23" s="177" t="n">
        <v>0</v>
      </c>
      <c r="F23" s="177" t="n">
        <v>0</v>
      </c>
      <c r="G23" s="177" t="n">
        <v>2</v>
      </c>
      <c r="H23" s="177" t="n">
        <v>0</v>
      </c>
      <c r="I23" s="177" t="n">
        <v>1</v>
      </c>
      <c r="J23" s="177" t="n">
        <v>0</v>
      </c>
      <c r="K23" s="177" t="n">
        <v>3</v>
      </c>
      <c r="L23" s="177" t="n">
        <v>0</v>
      </c>
      <c r="M23" s="177" t="n">
        <v>0.5</v>
      </c>
      <c r="N23" s="177" t="n">
        <v>1</v>
      </c>
      <c r="O23" s="177" t="n">
        <v>1</v>
      </c>
      <c r="P23" s="177" t="n">
        <v>1</v>
      </c>
      <c r="Q23" s="177" t="n">
        <v>0.5</v>
      </c>
      <c r="R23" s="177" t="n">
        <v>2</v>
      </c>
      <c r="S23" s="177" t="n">
        <v>2</v>
      </c>
      <c r="T23" s="177" t="n">
        <v>1</v>
      </c>
      <c r="U23" s="177" t="n">
        <v>0.5</v>
      </c>
      <c r="W23" s="178" t="n">
        <f aca="false">SUM(B23:U23)</f>
        <v>20.5</v>
      </c>
    </row>
    <row r="24" s="81" customFormat="true" ht="20.25" hidden="false" customHeight="true" outlineLevel="0" collapsed="false">
      <c r="A24" s="115" t="s">
        <v>135</v>
      </c>
      <c r="B24" s="177" t="n">
        <v>0.5</v>
      </c>
      <c r="C24" s="177" t="n">
        <v>0</v>
      </c>
      <c r="D24" s="177" t="n">
        <v>2</v>
      </c>
      <c r="E24" s="177" t="n">
        <v>3</v>
      </c>
      <c r="F24" s="177" t="n">
        <v>0</v>
      </c>
      <c r="G24" s="177" t="n">
        <v>2</v>
      </c>
      <c r="H24" s="177" t="n">
        <v>0</v>
      </c>
      <c r="I24" s="177" t="n">
        <v>0</v>
      </c>
      <c r="J24" s="177" t="n">
        <v>0</v>
      </c>
      <c r="K24" s="177" t="n">
        <v>0</v>
      </c>
      <c r="L24" s="177" t="n">
        <v>0</v>
      </c>
      <c r="M24" s="177" t="n">
        <v>0</v>
      </c>
      <c r="N24" s="177" t="n">
        <v>0.5</v>
      </c>
      <c r="O24" s="177" t="n">
        <v>0</v>
      </c>
      <c r="P24" s="177" t="n">
        <v>0</v>
      </c>
      <c r="Q24" s="177" t="n">
        <v>1</v>
      </c>
      <c r="R24" s="177" t="n">
        <v>1</v>
      </c>
      <c r="S24" s="177" t="n">
        <v>1</v>
      </c>
      <c r="T24" s="177" t="n">
        <v>0</v>
      </c>
      <c r="U24" s="177" t="n">
        <v>0.5</v>
      </c>
      <c r="W24" s="178" t="n">
        <f aca="false">SUM(B24:U24)</f>
        <v>11.5</v>
      </c>
    </row>
    <row r="25" s="181" customFormat="true" ht="20.25" hidden="false" customHeight="true" outlineLevel="0" collapsed="false">
      <c r="A25" s="183" t="s">
        <v>136</v>
      </c>
      <c r="B25" s="180" t="n">
        <v>1</v>
      </c>
      <c r="C25" s="180" t="n">
        <v>3</v>
      </c>
      <c r="D25" s="180" t="n">
        <v>0</v>
      </c>
      <c r="E25" s="180" t="n">
        <v>0</v>
      </c>
      <c r="F25" s="180" t="n">
        <v>0</v>
      </c>
      <c r="G25" s="180" t="n">
        <v>0</v>
      </c>
      <c r="H25" s="180" t="n">
        <v>0</v>
      </c>
      <c r="I25" s="180" t="n">
        <v>0.5</v>
      </c>
      <c r="J25" s="180" t="n">
        <v>0</v>
      </c>
      <c r="K25" s="180" t="n">
        <v>3</v>
      </c>
      <c r="L25" s="180" t="n">
        <v>1</v>
      </c>
      <c r="M25" s="180" t="n">
        <v>0</v>
      </c>
      <c r="N25" s="180" t="n">
        <v>0</v>
      </c>
      <c r="O25" s="180" t="n">
        <v>0.5</v>
      </c>
      <c r="P25" s="180" t="n">
        <v>2</v>
      </c>
      <c r="Q25" s="180" t="n">
        <v>0</v>
      </c>
      <c r="R25" s="180" t="n">
        <v>0.5</v>
      </c>
      <c r="S25" s="180" t="n">
        <v>1.5</v>
      </c>
      <c r="T25" s="180" t="n">
        <v>0</v>
      </c>
      <c r="U25" s="180" t="n">
        <v>1</v>
      </c>
      <c r="W25" s="182" t="n">
        <f aca="false">SUM(B25:U25)</f>
        <v>14</v>
      </c>
    </row>
    <row r="26" s="81" customFormat="true" ht="20.25" hidden="false" customHeight="true" outlineLevel="0" collapsed="false">
      <c r="A26" s="115" t="s">
        <v>137</v>
      </c>
      <c r="B26" s="177" t="n">
        <v>0</v>
      </c>
      <c r="C26" s="177" t="n">
        <v>0</v>
      </c>
      <c r="D26" s="177" t="n">
        <v>2.5</v>
      </c>
      <c r="E26" s="177" t="n">
        <v>3</v>
      </c>
      <c r="F26" s="177" t="n">
        <v>0.5</v>
      </c>
      <c r="G26" s="177" t="n">
        <v>1.5</v>
      </c>
      <c r="H26" s="177" t="n">
        <v>0</v>
      </c>
      <c r="I26" s="177" t="n">
        <v>1</v>
      </c>
      <c r="J26" s="177" t="n">
        <v>0</v>
      </c>
      <c r="K26" s="177" t="n">
        <v>1.5</v>
      </c>
      <c r="L26" s="177" t="n">
        <v>0</v>
      </c>
      <c r="M26" s="177" t="n">
        <v>1</v>
      </c>
      <c r="N26" s="177" t="n">
        <v>0.5</v>
      </c>
      <c r="O26" s="177" t="n">
        <v>1</v>
      </c>
      <c r="P26" s="177" t="n">
        <v>0.5</v>
      </c>
      <c r="Q26" s="177" t="n">
        <v>2</v>
      </c>
      <c r="R26" s="177" t="n">
        <v>2</v>
      </c>
      <c r="S26" s="177" t="n">
        <v>2</v>
      </c>
      <c r="T26" s="177" t="n">
        <v>1</v>
      </c>
      <c r="U26" s="177" t="n">
        <v>1</v>
      </c>
      <c r="W26" s="178" t="n">
        <f aca="false">SUM(B26:U26)</f>
        <v>21</v>
      </c>
    </row>
    <row r="27" s="81" customFormat="true" ht="20.25" hidden="false" customHeight="true" outlineLevel="0" collapsed="false">
      <c r="A27" s="115" t="s">
        <v>138</v>
      </c>
      <c r="B27" s="177" t="n">
        <v>0</v>
      </c>
      <c r="C27" s="177" t="n">
        <v>1</v>
      </c>
      <c r="D27" s="177" t="n">
        <v>2</v>
      </c>
      <c r="E27" s="177" t="n">
        <v>2</v>
      </c>
      <c r="F27" s="177" t="n">
        <v>0.5</v>
      </c>
      <c r="G27" s="177" t="n">
        <v>1.5</v>
      </c>
      <c r="H27" s="177" t="n">
        <v>0</v>
      </c>
      <c r="I27" s="177" t="n">
        <v>0.5</v>
      </c>
      <c r="J27" s="177" t="n">
        <v>0</v>
      </c>
      <c r="K27" s="177" t="n">
        <v>2</v>
      </c>
      <c r="L27" s="177" t="n">
        <v>0</v>
      </c>
      <c r="M27" s="177" t="n">
        <v>1</v>
      </c>
      <c r="N27" s="177" t="n">
        <v>0</v>
      </c>
      <c r="O27" s="177" t="n">
        <v>1</v>
      </c>
      <c r="P27" s="177" t="n">
        <v>0.5</v>
      </c>
      <c r="Q27" s="177" t="n">
        <v>2</v>
      </c>
      <c r="R27" s="177" t="n">
        <v>2</v>
      </c>
      <c r="S27" s="177" t="n">
        <v>2</v>
      </c>
      <c r="T27" s="177" t="n">
        <v>0</v>
      </c>
      <c r="U27" s="177" t="n">
        <v>1</v>
      </c>
      <c r="W27" s="178" t="n">
        <f aca="false">SUM(B27:U27)</f>
        <v>19</v>
      </c>
    </row>
    <row r="28" s="181" customFormat="true" ht="20.25" hidden="false" customHeight="true" outlineLevel="0" collapsed="false">
      <c r="A28" s="183" t="s">
        <v>139</v>
      </c>
      <c r="B28" s="180" t="n">
        <v>0</v>
      </c>
      <c r="C28" s="180" t="n">
        <v>0</v>
      </c>
      <c r="D28" s="180" t="n">
        <v>0</v>
      </c>
      <c r="E28" s="180" t="n">
        <v>1.5</v>
      </c>
      <c r="F28" s="180" t="n">
        <v>0.5</v>
      </c>
      <c r="G28" s="180" t="n">
        <v>0.5</v>
      </c>
      <c r="H28" s="180" t="n">
        <v>0</v>
      </c>
      <c r="I28" s="180" t="n">
        <v>1</v>
      </c>
      <c r="J28" s="180" t="n">
        <v>2</v>
      </c>
      <c r="K28" s="180" t="n">
        <v>0.5</v>
      </c>
      <c r="L28" s="180" t="n">
        <v>0</v>
      </c>
      <c r="M28" s="180" t="n">
        <v>0.5</v>
      </c>
      <c r="N28" s="180" t="n">
        <v>0</v>
      </c>
      <c r="O28" s="180" t="n">
        <v>1</v>
      </c>
      <c r="P28" s="180" t="n">
        <v>3</v>
      </c>
      <c r="Q28" s="180" t="n">
        <v>2</v>
      </c>
      <c r="R28" s="180" t="n">
        <v>1</v>
      </c>
      <c r="S28" s="180" t="n">
        <v>1.5</v>
      </c>
      <c r="T28" s="180" t="n">
        <v>0</v>
      </c>
      <c r="U28" s="180" t="n">
        <v>0.5</v>
      </c>
      <c r="W28" s="182" t="n">
        <f aca="false">SUM(B28:U28)</f>
        <v>15.5</v>
      </c>
    </row>
    <row r="29" s="81" customFormat="true" ht="20.25" hidden="false" customHeight="true" outlineLevel="0" collapsed="false">
      <c r="A29" s="115" t="s">
        <v>140</v>
      </c>
      <c r="B29" s="177" t="n">
        <v>0.5</v>
      </c>
      <c r="C29" s="177" t="n">
        <v>0.5</v>
      </c>
      <c r="D29" s="177" t="n">
        <v>1</v>
      </c>
      <c r="E29" s="177" t="n">
        <v>0</v>
      </c>
      <c r="F29" s="177" t="n">
        <v>0</v>
      </c>
      <c r="G29" s="177" t="n">
        <v>0</v>
      </c>
      <c r="H29" s="177" t="n">
        <v>2</v>
      </c>
      <c r="I29" s="177" t="n">
        <v>2</v>
      </c>
      <c r="J29" s="177" t="n">
        <v>0</v>
      </c>
      <c r="K29" s="177" t="n">
        <v>0</v>
      </c>
      <c r="L29" s="177" t="n">
        <v>0</v>
      </c>
      <c r="M29" s="177" t="n">
        <v>0</v>
      </c>
      <c r="N29" s="177" t="n">
        <v>2</v>
      </c>
      <c r="O29" s="177" t="n">
        <v>1</v>
      </c>
      <c r="P29" s="177" t="n">
        <v>0</v>
      </c>
      <c r="Q29" s="177" t="n">
        <v>0</v>
      </c>
      <c r="R29" s="177" t="n">
        <v>1</v>
      </c>
      <c r="S29" s="177" t="n">
        <v>1.5</v>
      </c>
      <c r="T29" s="177" t="n">
        <v>0</v>
      </c>
      <c r="U29" s="177" t="n">
        <v>0</v>
      </c>
      <c r="W29" s="178" t="n">
        <f aca="false">SUM(B29:U29)</f>
        <v>11.5</v>
      </c>
    </row>
    <row r="30" s="181" customFormat="true" ht="20.25" hidden="false" customHeight="true" outlineLevel="0" collapsed="false">
      <c r="A30" s="183" t="s">
        <v>141</v>
      </c>
      <c r="B30" s="180" t="n">
        <v>0</v>
      </c>
      <c r="C30" s="180" t="n">
        <v>0</v>
      </c>
      <c r="D30" s="180" t="n">
        <v>2.5</v>
      </c>
      <c r="E30" s="180" t="n">
        <v>2</v>
      </c>
      <c r="F30" s="180" t="n">
        <v>0.5</v>
      </c>
      <c r="G30" s="180" t="n">
        <v>0</v>
      </c>
      <c r="H30" s="180" t="n">
        <v>0</v>
      </c>
      <c r="I30" s="180" t="n">
        <v>0.5</v>
      </c>
      <c r="J30" s="180" t="n">
        <v>0</v>
      </c>
      <c r="K30" s="180" t="n">
        <v>0</v>
      </c>
      <c r="L30" s="180" t="n">
        <v>0</v>
      </c>
      <c r="M30" s="180" t="n">
        <v>0</v>
      </c>
      <c r="N30" s="180" t="n">
        <v>1</v>
      </c>
      <c r="O30" s="180" t="n">
        <v>1.5</v>
      </c>
      <c r="P30" s="180" t="n">
        <v>0</v>
      </c>
      <c r="Q30" s="180" t="n">
        <v>1.5</v>
      </c>
      <c r="R30" s="180" t="n">
        <v>1</v>
      </c>
      <c r="S30" s="180" t="n">
        <v>2</v>
      </c>
      <c r="T30" s="180" t="n">
        <v>0</v>
      </c>
      <c r="U30" s="180" t="n">
        <v>0</v>
      </c>
      <c r="W30" s="182" t="n">
        <f aca="false">SUM(B30:U30)</f>
        <v>12.5</v>
      </c>
    </row>
    <row r="31" s="81" customFormat="true" ht="20.25" hidden="false" customHeight="true" outlineLevel="0" collapsed="false">
      <c r="A31" s="115" t="s">
        <v>142</v>
      </c>
      <c r="B31" s="177" t="n">
        <v>1</v>
      </c>
      <c r="C31" s="177" t="n">
        <v>2</v>
      </c>
      <c r="D31" s="177" t="n">
        <v>2.5</v>
      </c>
      <c r="E31" s="177" t="n">
        <v>0</v>
      </c>
      <c r="F31" s="177" t="n">
        <v>0</v>
      </c>
      <c r="G31" s="177" t="n">
        <v>0</v>
      </c>
      <c r="H31" s="177" t="n">
        <v>2</v>
      </c>
      <c r="I31" s="177" t="n">
        <v>3</v>
      </c>
      <c r="J31" s="177" t="n">
        <v>1</v>
      </c>
      <c r="K31" s="177" t="n">
        <v>4</v>
      </c>
      <c r="L31" s="177" t="n">
        <v>0</v>
      </c>
      <c r="M31" s="177" t="n">
        <v>0</v>
      </c>
      <c r="N31" s="177" t="n">
        <v>1.5</v>
      </c>
      <c r="O31" s="177" t="n">
        <v>2</v>
      </c>
      <c r="P31" s="177" t="n">
        <v>0.5</v>
      </c>
      <c r="Q31" s="177" t="n">
        <v>0</v>
      </c>
      <c r="R31" s="177" t="n">
        <v>1</v>
      </c>
      <c r="S31" s="177" t="n">
        <v>1.5</v>
      </c>
      <c r="T31" s="177" t="n">
        <v>0</v>
      </c>
      <c r="U31" s="177" t="n">
        <v>0.5</v>
      </c>
      <c r="W31" s="178" t="n">
        <f aca="false">SUM(B31:U31)</f>
        <v>22.5</v>
      </c>
    </row>
    <row r="32" s="81" customFormat="true" ht="20.25" hidden="false" customHeight="true" outlineLevel="0" collapsed="false">
      <c r="A32" s="117" t="s">
        <v>143</v>
      </c>
      <c r="B32" s="177" t="n">
        <v>0</v>
      </c>
      <c r="C32" s="177" t="n">
        <v>0</v>
      </c>
      <c r="D32" s="177" t="n">
        <v>2.5</v>
      </c>
      <c r="E32" s="177" t="n">
        <v>2</v>
      </c>
      <c r="F32" s="177" t="n">
        <v>1</v>
      </c>
      <c r="G32" s="177" t="n">
        <v>2</v>
      </c>
      <c r="H32" s="177" t="n">
        <v>0</v>
      </c>
      <c r="I32" s="177" t="n">
        <v>0.5</v>
      </c>
      <c r="J32" s="177" t="n">
        <v>0</v>
      </c>
      <c r="K32" s="177" t="n">
        <v>0</v>
      </c>
      <c r="L32" s="177" t="n">
        <v>0</v>
      </c>
      <c r="M32" s="177" t="n">
        <v>0</v>
      </c>
      <c r="N32" s="177" t="n">
        <v>1</v>
      </c>
      <c r="O32" s="177" t="n">
        <v>0</v>
      </c>
      <c r="P32" s="177" t="n">
        <v>0</v>
      </c>
      <c r="Q32" s="177" t="n">
        <v>1.5</v>
      </c>
      <c r="R32" s="177" t="n">
        <v>1</v>
      </c>
      <c r="S32" s="177" t="n">
        <v>2</v>
      </c>
      <c r="T32" s="177" t="n">
        <v>0</v>
      </c>
      <c r="U32" s="177" t="n">
        <v>0</v>
      </c>
      <c r="W32" s="178" t="n">
        <f aca="false">SUM(B32:U32)</f>
        <v>13.5</v>
      </c>
    </row>
    <row r="33" s="81" customFormat="true" ht="20.25" hidden="false" customHeight="true" outlineLevel="0" collapsed="false">
      <c r="A33" s="117" t="s">
        <v>144</v>
      </c>
      <c r="B33" s="177" t="n">
        <v>1</v>
      </c>
      <c r="C33" s="177" t="n">
        <v>1</v>
      </c>
      <c r="D33" s="177" t="n">
        <v>4</v>
      </c>
      <c r="E33" s="177" t="n">
        <v>3</v>
      </c>
      <c r="F33" s="177" t="n">
        <v>1</v>
      </c>
      <c r="G33" s="177" t="n">
        <v>2.5</v>
      </c>
      <c r="H33" s="177" t="n">
        <v>0</v>
      </c>
      <c r="I33" s="177" t="n">
        <v>0</v>
      </c>
      <c r="J33" s="177" t="n">
        <v>0</v>
      </c>
      <c r="K33" s="177" t="n">
        <v>0</v>
      </c>
      <c r="L33" s="177" t="n">
        <v>0</v>
      </c>
      <c r="M33" s="177" t="n">
        <v>0</v>
      </c>
      <c r="N33" s="177" t="n">
        <v>1</v>
      </c>
      <c r="O33" s="177" t="n">
        <v>0</v>
      </c>
      <c r="P33" s="177" t="n">
        <v>0</v>
      </c>
      <c r="Q33" s="177" t="n">
        <v>1</v>
      </c>
      <c r="R33" s="177" t="n">
        <v>1</v>
      </c>
      <c r="S33" s="177" t="n">
        <v>1</v>
      </c>
      <c r="T33" s="177" t="n">
        <v>0</v>
      </c>
      <c r="U33" s="177" t="n">
        <v>0</v>
      </c>
      <c r="W33" s="178" t="n">
        <f aca="false">SUM(B33:U33)</f>
        <v>16.5</v>
      </c>
    </row>
    <row r="34" s="181" customFormat="true" ht="20.25" hidden="false" customHeight="true" outlineLevel="0" collapsed="false">
      <c r="A34" s="179" t="s">
        <v>145</v>
      </c>
      <c r="B34" s="180" t="n">
        <v>0</v>
      </c>
      <c r="C34" s="180" t="n">
        <v>1</v>
      </c>
      <c r="D34" s="180" t="n">
        <v>3</v>
      </c>
      <c r="E34" s="180" t="n">
        <v>3</v>
      </c>
      <c r="F34" s="180" t="n">
        <v>0</v>
      </c>
      <c r="G34" s="180" t="n">
        <v>3</v>
      </c>
      <c r="H34" s="180" t="n">
        <v>0</v>
      </c>
      <c r="I34" s="180" t="n">
        <v>0</v>
      </c>
      <c r="J34" s="180" t="n">
        <v>0</v>
      </c>
      <c r="K34" s="180" t="n">
        <v>0</v>
      </c>
      <c r="L34" s="180" t="n">
        <v>0</v>
      </c>
      <c r="M34" s="180" t="n">
        <v>0</v>
      </c>
      <c r="N34" s="180" t="n">
        <v>0</v>
      </c>
      <c r="O34" s="180" t="n">
        <v>1</v>
      </c>
      <c r="P34" s="180" t="n">
        <v>1.5</v>
      </c>
      <c r="Q34" s="180" t="n">
        <v>1</v>
      </c>
      <c r="R34" s="180" t="n">
        <v>1</v>
      </c>
      <c r="S34" s="180" t="n">
        <v>1</v>
      </c>
      <c r="T34" s="180" t="n">
        <v>0.5</v>
      </c>
      <c r="U34" s="180" t="n">
        <v>0</v>
      </c>
      <c r="W34" s="182" t="n">
        <f aca="false">SUM(B34:U34)</f>
        <v>16</v>
      </c>
    </row>
    <row r="35" s="81" customFormat="true" ht="20.25" hidden="false" customHeight="true" outlineLevel="0" collapsed="false">
      <c r="A35" s="117" t="s">
        <v>146</v>
      </c>
      <c r="B35" s="177" t="n">
        <v>0</v>
      </c>
      <c r="C35" s="177" t="n">
        <v>0</v>
      </c>
      <c r="D35" s="177" t="n">
        <v>3</v>
      </c>
      <c r="E35" s="177" t="n">
        <v>1</v>
      </c>
      <c r="F35" s="177" t="n">
        <v>2</v>
      </c>
      <c r="G35" s="177" t="n">
        <v>0</v>
      </c>
      <c r="H35" s="177" t="n">
        <v>0</v>
      </c>
      <c r="I35" s="177" t="n">
        <v>0</v>
      </c>
      <c r="J35" s="177" t="n">
        <v>0</v>
      </c>
      <c r="K35" s="177" t="n">
        <v>0</v>
      </c>
      <c r="L35" s="177" t="n">
        <v>0</v>
      </c>
      <c r="M35" s="177" t="n">
        <v>0</v>
      </c>
      <c r="N35" s="177" t="n">
        <v>0</v>
      </c>
      <c r="O35" s="177" t="n">
        <v>0</v>
      </c>
      <c r="P35" s="177" t="n">
        <v>0</v>
      </c>
      <c r="Q35" s="177" t="n">
        <v>1.5</v>
      </c>
      <c r="R35" s="177" t="n">
        <v>1</v>
      </c>
      <c r="S35" s="177" t="n">
        <v>2</v>
      </c>
      <c r="T35" s="177" t="n">
        <v>0</v>
      </c>
      <c r="U35" s="177" t="n">
        <v>0</v>
      </c>
      <c r="W35" s="178" t="n">
        <f aca="false">SUM(B35:U35)</f>
        <v>10.5</v>
      </c>
    </row>
    <row r="36" s="81" customFormat="true" ht="20.25" hidden="false" customHeight="true" outlineLevel="0" collapsed="false">
      <c r="A36" s="117" t="s">
        <v>147</v>
      </c>
      <c r="B36" s="177" t="n">
        <v>0</v>
      </c>
      <c r="C36" s="177" t="n">
        <v>0</v>
      </c>
      <c r="D36" s="177" t="n">
        <v>4</v>
      </c>
      <c r="E36" s="177" t="n">
        <v>2</v>
      </c>
      <c r="F36" s="177" t="n">
        <v>2</v>
      </c>
      <c r="G36" s="177" t="n">
        <v>0</v>
      </c>
      <c r="H36" s="177" t="n">
        <v>0</v>
      </c>
      <c r="I36" s="177" t="n">
        <v>0</v>
      </c>
      <c r="J36" s="177" t="n">
        <v>0</v>
      </c>
      <c r="K36" s="177" t="n">
        <v>0</v>
      </c>
      <c r="L36" s="177" t="n">
        <v>0</v>
      </c>
      <c r="M36" s="177" t="n">
        <v>0</v>
      </c>
      <c r="N36" s="177" t="n">
        <v>0</v>
      </c>
      <c r="O36" s="177" t="n">
        <v>0</v>
      </c>
      <c r="P36" s="177" t="n">
        <v>0</v>
      </c>
      <c r="Q36" s="177" t="n">
        <v>1.5</v>
      </c>
      <c r="R36" s="177" t="n">
        <v>1</v>
      </c>
      <c r="S36" s="177" t="n">
        <v>2</v>
      </c>
      <c r="T36" s="177" t="n">
        <v>2</v>
      </c>
      <c r="U36" s="177" t="n">
        <v>0</v>
      </c>
      <c r="W36" s="178" t="n">
        <f aca="false">SUM(B36:U36)</f>
        <v>14.5</v>
      </c>
    </row>
    <row r="37" s="81" customFormat="true" ht="20.25" hidden="false" customHeight="true" outlineLevel="0" collapsed="false">
      <c r="A37" s="117" t="s">
        <v>148</v>
      </c>
      <c r="B37" s="177" t="n">
        <v>0</v>
      </c>
      <c r="C37" s="177" t="n">
        <v>1</v>
      </c>
      <c r="D37" s="177" t="n">
        <v>0.5</v>
      </c>
      <c r="E37" s="177" t="n">
        <v>0</v>
      </c>
      <c r="F37" s="177" t="n">
        <v>3</v>
      </c>
      <c r="G37" s="177" t="n">
        <v>0.5</v>
      </c>
      <c r="H37" s="177" t="n">
        <v>0</v>
      </c>
      <c r="I37" s="177" t="n">
        <v>0</v>
      </c>
      <c r="J37" s="177" t="n">
        <v>0</v>
      </c>
      <c r="K37" s="177" t="n">
        <v>1</v>
      </c>
      <c r="L37" s="177" t="n">
        <v>0</v>
      </c>
      <c r="M37" s="177" t="n">
        <v>0</v>
      </c>
      <c r="N37" s="177" t="n">
        <v>0</v>
      </c>
      <c r="O37" s="177" t="n">
        <v>0</v>
      </c>
      <c r="P37" s="177" t="n">
        <v>1.5</v>
      </c>
      <c r="Q37" s="177" t="n">
        <v>2.5</v>
      </c>
      <c r="R37" s="177" t="n">
        <v>1.5</v>
      </c>
      <c r="S37" s="177" t="n">
        <v>1</v>
      </c>
      <c r="T37" s="177" t="n">
        <v>2</v>
      </c>
      <c r="U37" s="177" t="n">
        <v>0</v>
      </c>
      <c r="W37" s="178" t="n">
        <f aca="false">SUM(B37:U37)</f>
        <v>14.5</v>
      </c>
    </row>
    <row r="38" s="81" customFormat="true" ht="20.25" hidden="false" customHeight="true" outlineLevel="0" collapsed="false">
      <c r="A38" s="115" t="s">
        <v>149</v>
      </c>
      <c r="B38" s="177" t="n">
        <v>1</v>
      </c>
      <c r="C38" s="177" t="n">
        <v>1.5</v>
      </c>
      <c r="D38" s="177" t="n">
        <v>2</v>
      </c>
      <c r="E38" s="177" t="n">
        <v>2</v>
      </c>
      <c r="F38" s="177" t="n">
        <v>2.5</v>
      </c>
      <c r="G38" s="177" t="n">
        <v>3</v>
      </c>
      <c r="H38" s="177" t="n">
        <v>1</v>
      </c>
      <c r="I38" s="177" t="n">
        <v>2</v>
      </c>
      <c r="J38" s="177" t="n">
        <v>1.5</v>
      </c>
      <c r="K38" s="177" t="n">
        <v>1</v>
      </c>
      <c r="L38" s="177" t="n">
        <v>1</v>
      </c>
      <c r="M38" s="177" t="n">
        <v>1</v>
      </c>
      <c r="N38" s="177" t="n">
        <v>2</v>
      </c>
      <c r="O38" s="177" t="n">
        <v>1</v>
      </c>
      <c r="P38" s="177" t="n">
        <v>1</v>
      </c>
      <c r="Q38" s="177" t="n">
        <v>1</v>
      </c>
      <c r="R38" s="177" t="n">
        <v>1.5</v>
      </c>
      <c r="S38" s="177" t="n">
        <v>1</v>
      </c>
      <c r="T38" s="177" t="n">
        <v>2.5</v>
      </c>
      <c r="U38" s="177" t="n">
        <v>1</v>
      </c>
      <c r="W38" s="178" t="n">
        <f aca="false">SUM(B38:U38)</f>
        <v>30.5</v>
      </c>
    </row>
    <row r="39" s="81" customFormat="true" ht="20.25" hidden="false" customHeight="true" outlineLevel="0" collapsed="false">
      <c r="A39" s="115" t="s">
        <v>150</v>
      </c>
      <c r="B39" s="177" t="n">
        <v>0</v>
      </c>
      <c r="C39" s="177" t="n">
        <v>0</v>
      </c>
      <c r="D39" s="177" t="n">
        <v>2</v>
      </c>
      <c r="E39" s="177" t="n">
        <v>2</v>
      </c>
      <c r="F39" s="177" t="n">
        <v>2.5</v>
      </c>
      <c r="G39" s="177" t="n">
        <v>2</v>
      </c>
      <c r="H39" s="177" t="n">
        <v>2</v>
      </c>
      <c r="I39" s="177" t="n">
        <v>0</v>
      </c>
      <c r="J39" s="177" t="n">
        <v>0.5</v>
      </c>
      <c r="K39" s="177" t="n">
        <v>2</v>
      </c>
      <c r="L39" s="177" t="n">
        <v>1</v>
      </c>
      <c r="M39" s="177" t="n">
        <v>1</v>
      </c>
      <c r="N39" s="177" t="n">
        <v>1.5</v>
      </c>
      <c r="O39" s="177" t="n">
        <v>1</v>
      </c>
      <c r="P39" s="177" t="n">
        <v>0</v>
      </c>
      <c r="Q39" s="177" t="n">
        <v>2</v>
      </c>
      <c r="R39" s="177" t="n">
        <v>1</v>
      </c>
      <c r="S39" s="177" t="n">
        <v>1</v>
      </c>
      <c r="T39" s="177" t="n">
        <v>2.5</v>
      </c>
      <c r="U39" s="177" t="n">
        <v>0</v>
      </c>
      <c r="W39" s="178" t="n">
        <f aca="false">SUM(B39:U39)</f>
        <v>24</v>
      </c>
    </row>
    <row r="40" s="81" customFormat="true" ht="20.25" hidden="false" customHeight="true" outlineLevel="0" collapsed="false">
      <c r="A40" s="115" t="s">
        <v>151</v>
      </c>
      <c r="B40" s="177" t="n">
        <v>0</v>
      </c>
      <c r="C40" s="177" t="n">
        <v>0</v>
      </c>
      <c r="D40" s="177" t="n">
        <v>2</v>
      </c>
      <c r="E40" s="177" t="n">
        <v>2</v>
      </c>
      <c r="F40" s="177" t="n">
        <v>4</v>
      </c>
      <c r="G40" s="177" t="n">
        <v>0.5</v>
      </c>
      <c r="H40" s="177" t="n">
        <v>0</v>
      </c>
      <c r="I40" s="177" t="n">
        <v>0</v>
      </c>
      <c r="J40" s="177" t="n">
        <v>0</v>
      </c>
      <c r="K40" s="177" t="n">
        <v>0</v>
      </c>
      <c r="L40" s="177" t="n">
        <v>0</v>
      </c>
      <c r="M40" s="177" t="n">
        <v>0</v>
      </c>
      <c r="N40" s="177" t="n">
        <v>0</v>
      </c>
      <c r="O40" s="177" t="n">
        <v>0</v>
      </c>
      <c r="P40" s="177" t="n">
        <v>0</v>
      </c>
      <c r="Q40" s="177" t="n">
        <v>2</v>
      </c>
      <c r="R40" s="177" t="n">
        <v>0</v>
      </c>
      <c r="S40" s="177" t="n">
        <v>0</v>
      </c>
      <c r="T40" s="177" t="n">
        <v>4</v>
      </c>
      <c r="U40" s="177" t="n">
        <v>0</v>
      </c>
      <c r="W40" s="178" t="n">
        <f aca="false">SUM(B40:U40)</f>
        <v>14.5</v>
      </c>
    </row>
    <row r="41" s="81" customFormat="true" ht="20.25" hidden="false" customHeight="true" outlineLevel="0" collapsed="false">
      <c r="A41" s="115" t="s">
        <v>152</v>
      </c>
      <c r="B41" s="177" t="n">
        <v>1</v>
      </c>
      <c r="C41" s="177" t="n">
        <v>1</v>
      </c>
      <c r="D41" s="177" t="n">
        <v>3</v>
      </c>
      <c r="E41" s="177" t="n">
        <v>1.5</v>
      </c>
      <c r="F41" s="177" t="n">
        <v>3</v>
      </c>
      <c r="G41" s="177" t="n">
        <v>4</v>
      </c>
      <c r="H41" s="177" t="n">
        <v>2</v>
      </c>
      <c r="I41" s="177" t="n">
        <v>1</v>
      </c>
      <c r="J41" s="177" t="n">
        <v>1</v>
      </c>
      <c r="K41" s="177" t="n">
        <v>0.5</v>
      </c>
      <c r="L41" s="177" t="n">
        <v>1</v>
      </c>
      <c r="M41" s="177" t="n">
        <v>1</v>
      </c>
      <c r="N41" s="177" t="n">
        <v>1.5</v>
      </c>
      <c r="O41" s="177" t="n">
        <v>0</v>
      </c>
      <c r="P41" s="177" t="n">
        <v>1</v>
      </c>
      <c r="Q41" s="177" t="n">
        <v>1</v>
      </c>
      <c r="R41" s="177" t="n">
        <v>1</v>
      </c>
      <c r="S41" s="177" t="n">
        <v>1</v>
      </c>
      <c r="T41" s="177" t="n">
        <v>2.5</v>
      </c>
      <c r="U41" s="177" t="n">
        <v>1</v>
      </c>
      <c r="W41" s="178" t="n">
        <f aca="false">SUM(B41:U41)</f>
        <v>29</v>
      </c>
    </row>
  </sheetData>
  <autoFilter ref="A1:W41"/>
  <conditionalFormatting sqref="B2:U41">
    <cfRule type="cellIs" priority="2" operator="greaterThanOrEqual" aboveAverage="0" equalAverage="0" bottom="0" percent="0" rank="0" text="" dxfId="2">
      <formula>3</formula>
    </cfRule>
    <cfRule type="cellIs" priority="3" operator="greaterThanOrEqual" aboveAverage="0" equalAverage="0" bottom="0" percent="0" rank="0" text="" dxfId="3">
      <formula>2</formula>
    </cfRule>
    <cfRule type="cellIs" priority="4" operator="greaterThanOrEqual" aboveAverage="0" equalAverage="0" bottom="0" percent="0" rank="0" text="" dxfId="4">
      <formula>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7171"/>
    <pageSetUpPr fitToPage="true"/>
  </sheetPr>
  <dimension ref="A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5078125" defaultRowHeight="12.8" zeroHeight="false" outlineLevelRow="0" outlineLevelCol="0"/>
  <sheetData>
    <row r="1"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N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8" activePane="bottomLeft" state="frozen"/>
      <selection pane="topLeft" activeCell="A1" activeCellId="0" sqref="A1"/>
      <selection pane="bottomLeft" activeCell="E9" activeCellId="0" sqref="E9"/>
    </sheetView>
  </sheetViews>
  <sheetFormatPr defaultColWidth="8.859375" defaultRowHeight="15" zeroHeight="false" outlineLevelRow="0" outlineLevelCol="0"/>
  <cols>
    <col collapsed="false" customWidth="true" hidden="false" outlineLevel="0" max="1" min="1" style="0" width="12.71"/>
    <col collapsed="false" customWidth="true" hidden="false" outlineLevel="0" max="2" min="2" style="0" width="8.42"/>
    <col collapsed="false" customWidth="true" hidden="false" outlineLevel="0" max="3" min="3" style="0" width="11.14"/>
    <col collapsed="false" customWidth="true" hidden="false" outlineLevel="0" max="4" min="4" style="0" width="12.15"/>
    <col collapsed="false" customWidth="true" hidden="false" outlineLevel="0" max="5" min="5" style="0" width="21.57"/>
    <col collapsed="false" customWidth="true" hidden="false" outlineLevel="0" max="6" min="6" style="0" width="24.71"/>
    <col collapsed="false" customWidth="true" hidden="false" outlineLevel="0" max="7" min="7" style="0" width="19.14"/>
    <col collapsed="false" customWidth="true" hidden="false" outlineLevel="0" max="8" min="8" style="0" width="17.57"/>
  </cols>
  <sheetData>
    <row r="1" s="25" customFormat="true" ht="36" hidden="false" customHeight="true" outlineLevel="0" collapsed="false">
      <c r="A1" s="79" t="s">
        <v>365</v>
      </c>
      <c r="B1" s="79"/>
      <c r="C1" s="79"/>
      <c r="D1" s="79"/>
      <c r="E1" s="79"/>
      <c r="F1" s="79"/>
      <c r="G1" s="79" t="s">
        <v>365</v>
      </c>
      <c r="H1" s="79"/>
      <c r="I1" s="79"/>
      <c r="J1" s="79"/>
      <c r="K1" s="79"/>
      <c r="L1" s="79"/>
      <c r="M1" s="79"/>
      <c r="N1" s="79"/>
    </row>
    <row r="2" customFormat="false" ht="10.5" hidden="false" customHeight="true" outlineLevel="0" collapsed="false"/>
    <row r="3" s="25" customFormat="true" ht="21" hidden="false" customHeight="true" outlineLevel="0" collapsed="false">
      <c r="A3" s="82" t="s">
        <v>366</v>
      </c>
      <c r="B3" s="82"/>
      <c r="C3" s="82"/>
      <c r="D3" s="82"/>
      <c r="E3" s="82"/>
      <c r="F3" s="82"/>
      <c r="G3" s="82" t="s">
        <v>366</v>
      </c>
      <c r="H3" s="82"/>
      <c r="I3" s="82"/>
      <c r="J3" s="82"/>
      <c r="K3" s="82"/>
      <c r="L3" s="82"/>
      <c r="M3" s="82"/>
      <c r="N3" s="82"/>
    </row>
    <row r="4" customFormat="false" ht="6.75" hidden="false" customHeight="true" outlineLevel="0" collapsed="false"/>
    <row r="5" s="84" customFormat="true" ht="19.5" hidden="false" customHeight="true" outlineLevel="0" collapsed="false"/>
    <row r="6" s="31" customFormat="true" ht="21" hidden="false" customHeight="true" outlineLevel="0" collapsed="false">
      <c r="A6" s="184" t="s">
        <v>94</v>
      </c>
      <c r="B6" s="185" t="s">
        <v>367</v>
      </c>
      <c r="C6" s="185"/>
      <c r="D6" s="185" t="s">
        <v>96</v>
      </c>
      <c r="E6" s="186"/>
      <c r="H6" s="187" t="s">
        <v>368</v>
      </c>
      <c r="I6" s="187"/>
      <c r="J6" s="187"/>
      <c r="K6" s="188"/>
      <c r="L6" s="188"/>
      <c r="M6" s="188"/>
      <c r="N6" s="188"/>
    </row>
    <row r="7" customFormat="false" ht="21" hidden="false" customHeight="true" outlineLevel="0" collapsed="false">
      <c r="A7" s="189" t="s">
        <v>369</v>
      </c>
      <c r="B7" s="190" t="n">
        <v>1</v>
      </c>
      <c r="C7" s="190"/>
      <c r="D7" s="191" t="n">
        <v>0.33</v>
      </c>
      <c r="E7" s="57"/>
    </row>
    <row r="8" customFormat="false" ht="21" hidden="false" customHeight="true" outlineLevel="0" collapsed="false">
      <c r="A8" s="189" t="s">
        <v>370</v>
      </c>
      <c r="B8" s="192" t="n">
        <v>0</v>
      </c>
      <c r="C8" s="192"/>
      <c r="D8" s="193" t="n">
        <v>0.67</v>
      </c>
      <c r="E8" s="57"/>
    </row>
    <row r="9" s="95" customFormat="true" ht="15.75" hidden="false" customHeight="true" outlineLevel="0" collapsed="false">
      <c r="F9" s="39"/>
      <c r="G9" s="39"/>
    </row>
    <row r="10" s="95" customFormat="true" ht="16.5" hidden="false" customHeight="true" outlineLevel="0" collapsed="false">
      <c r="A10" s="125" t="s">
        <v>101</v>
      </c>
      <c r="B10" s="98"/>
    </row>
    <row r="11" s="95" customFormat="true" ht="16.5" hidden="false" customHeight="true" outlineLevel="0" collapsed="false">
      <c r="A11" s="125" t="s">
        <v>102</v>
      </c>
      <c r="B11" s="98"/>
    </row>
    <row r="12" customFormat="false" ht="16.5" hidden="false" customHeight="true" outlineLevel="0" collapsed="false">
      <c r="A12" s="125" t="s">
        <v>103</v>
      </c>
      <c r="B12" s="98" t="n">
        <v>1</v>
      </c>
      <c r="C12" s="95"/>
      <c r="D12" s="95"/>
      <c r="E12" s="95"/>
      <c r="H12" s="95"/>
      <c r="I12" s="95"/>
      <c r="J12" s="95"/>
      <c r="K12" s="95"/>
      <c r="L12" s="95"/>
      <c r="M12" s="95"/>
      <c r="N12" s="95"/>
    </row>
    <row r="13" customFormat="false" ht="16.5" hidden="false" customHeight="true" outlineLevel="0" collapsed="false"/>
    <row r="14" customFormat="false" ht="24" hidden="false" customHeight="true" outlineLevel="0" collapsed="false"/>
    <row r="15" customFormat="false" ht="24" hidden="false" customHeight="true" outlineLevel="0" collapsed="false"/>
    <row r="16" customFormat="false" ht="24" hidden="false" customHeight="true" outlineLevel="0" collapsed="false"/>
    <row r="17" customFormat="false" ht="24" hidden="false" customHeight="true" outlineLevel="0" collapsed="false"/>
    <row r="18" customFormat="false" ht="24" hidden="false" customHeight="true" outlineLevel="0" collapsed="false"/>
    <row r="19" customFormat="false" ht="24" hidden="false" customHeight="true" outlineLevel="0" collapsed="false"/>
    <row r="20" customFormat="false" ht="24" hidden="false" customHeight="true" outlineLevel="0" collapsed="false"/>
    <row r="21" customFormat="false" ht="24" hidden="false" customHeight="true" outlineLevel="0" collapsed="false"/>
    <row r="22" customFormat="false" ht="24" hidden="false" customHeight="true" outlineLevel="0" collapsed="false"/>
    <row r="23" customFormat="false" ht="137.25" hidden="false" customHeight="true" outlineLevel="0" collapsed="false"/>
    <row r="24" customFormat="false" ht="9" hidden="false" customHeight="true" outlineLevel="0" collapsed="false"/>
    <row r="25" customFormat="false" ht="9" hidden="false" customHeight="true" outlineLevel="0" collapsed="false"/>
    <row r="26" s="84" customFormat="true" ht="24" hidden="false" customHeight="true" outlineLevel="0" collapsed="false">
      <c r="A26" s="99" t="s">
        <v>104</v>
      </c>
      <c r="B26" s="99"/>
      <c r="C26" s="99"/>
      <c r="D26" s="99"/>
      <c r="E26" s="99"/>
      <c r="F26" s="99"/>
      <c r="G26" s="99" t="s">
        <v>104</v>
      </c>
      <c r="H26" s="99"/>
      <c r="I26" s="99"/>
      <c r="J26" s="99"/>
      <c r="K26" s="99"/>
      <c r="L26" s="99"/>
      <c r="M26" s="99"/>
      <c r="N26" s="99"/>
    </row>
    <row r="27" customFormat="false" ht="8.25" hidden="false" customHeight="true" outlineLevel="0" collapsed="false"/>
    <row r="28" s="88" customFormat="true" ht="33" hidden="false" customHeight="true" outlineLevel="0" collapsed="false">
      <c r="A28" s="194" t="s">
        <v>169</v>
      </c>
      <c r="B28" s="194"/>
      <c r="C28" s="194"/>
      <c r="D28" s="194"/>
    </row>
    <row r="29" s="1" customFormat="true" ht="38.25" hidden="false" customHeight="true" outlineLevel="0" collapsed="false">
      <c r="A29" s="104" t="s">
        <v>106</v>
      </c>
      <c r="B29" s="105" t="s">
        <v>107</v>
      </c>
      <c r="C29" s="105" t="s">
        <v>108</v>
      </c>
      <c r="D29" s="105" t="s">
        <v>109</v>
      </c>
      <c r="I29" s="88"/>
      <c r="J29" s="88"/>
      <c r="K29" s="88"/>
      <c r="L29" s="88"/>
      <c r="M29" s="88"/>
      <c r="N29" s="88"/>
    </row>
    <row r="30" customFormat="false" ht="15" hidden="false" customHeight="false" outlineLevel="0" collapsed="false">
      <c r="A30" s="129" t="s">
        <v>113</v>
      </c>
      <c r="B30" s="195" t="n">
        <f aca="false" t="array" ref="B30:B69">MMULT(DF5map!B2:C41,DF5!B7:B8)</f>
        <v>3</v>
      </c>
      <c r="C30" s="195" t="n">
        <f aca="false" t="array" ref="C30:C69">MMULT(DF5map!B2:C41,DF5!D7:D8)</f>
        <v>1.66</v>
      </c>
      <c r="D30" s="132" t="n">
        <f aca="false">IFERROR(MROUND((100*B30/C30),5)-100,0)</f>
        <v>80</v>
      </c>
    </row>
    <row r="31" customFormat="false" ht="15" hidden="false" customHeight="false" outlineLevel="0" collapsed="false">
      <c r="A31" s="129" t="s">
        <v>114</v>
      </c>
      <c r="B31" s="195" t="n">
        <v>1</v>
      </c>
      <c r="C31" s="195" t="n">
        <v>1</v>
      </c>
      <c r="D31" s="132" t="n">
        <f aca="false">IFERROR(MROUND((100*B31/C31),5)-100,0)</f>
        <v>0</v>
      </c>
      <c r="J31" s="36"/>
    </row>
    <row r="32" customFormat="false" ht="15" hidden="false" customHeight="false" outlineLevel="0" collapsed="false">
      <c r="A32" s="129" t="s">
        <v>115</v>
      </c>
      <c r="B32" s="195" t="n">
        <v>4</v>
      </c>
      <c r="C32" s="195" t="n">
        <v>1.99</v>
      </c>
      <c r="D32" s="132" t="n">
        <f aca="false">IFERROR(MROUND((100*B32/C32),5)-100,0)</f>
        <v>100</v>
      </c>
    </row>
    <row r="33" customFormat="false" ht="15" hidden="false" customHeight="false" outlineLevel="0" collapsed="false">
      <c r="A33" s="129" t="s">
        <v>116</v>
      </c>
      <c r="B33" s="195" t="n">
        <v>1</v>
      </c>
      <c r="C33" s="195" t="n">
        <v>1</v>
      </c>
      <c r="D33" s="132" t="n">
        <f aca="false">IFERROR(MROUND((100*B33/C33),5)-100,0)</f>
        <v>0</v>
      </c>
    </row>
    <row r="34" customFormat="false" ht="15" hidden="false" customHeight="false" outlineLevel="0" collapsed="false">
      <c r="A34" s="129" t="s">
        <v>117</v>
      </c>
      <c r="B34" s="195" t="n">
        <v>2</v>
      </c>
      <c r="C34" s="195" t="n">
        <v>1.33</v>
      </c>
      <c r="D34" s="132" t="n">
        <f aca="false">IFERROR(MROUND((100*B34/C34),5)-100,0)</f>
        <v>50</v>
      </c>
    </row>
    <row r="35" customFormat="false" ht="15" hidden="false" customHeight="false" outlineLevel="0" collapsed="false">
      <c r="A35" s="133" t="s">
        <v>118</v>
      </c>
      <c r="B35" s="195" t="n">
        <v>3</v>
      </c>
      <c r="C35" s="195" t="n">
        <v>1.66</v>
      </c>
      <c r="D35" s="132" t="n">
        <f aca="false">IFERROR(MROUND((100*B35/C35),5)-100,0)</f>
        <v>80</v>
      </c>
    </row>
    <row r="36" customFormat="false" ht="15" hidden="false" customHeight="false" outlineLevel="0" collapsed="false">
      <c r="A36" s="133" t="s">
        <v>119</v>
      </c>
      <c r="B36" s="195" t="n">
        <v>1</v>
      </c>
      <c r="C36" s="195" t="n">
        <v>1</v>
      </c>
      <c r="D36" s="132" t="n">
        <f aca="false">IFERROR(MROUND((100*B36/C36),5)-100,0)</f>
        <v>0</v>
      </c>
    </row>
    <row r="37" customFormat="false" ht="15" hidden="false" customHeight="false" outlineLevel="0" collapsed="false">
      <c r="A37" s="133" t="s">
        <v>120</v>
      </c>
      <c r="B37" s="195" t="n">
        <v>3</v>
      </c>
      <c r="C37" s="195" t="n">
        <v>1.66</v>
      </c>
      <c r="D37" s="132" t="n">
        <f aca="false">IFERROR(MROUND((100*B37/C37),5)-100,0)</f>
        <v>80</v>
      </c>
    </row>
    <row r="38" customFormat="false" ht="15" hidden="false" customHeight="false" outlineLevel="0" collapsed="false">
      <c r="A38" s="133" t="s">
        <v>121</v>
      </c>
      <c r="B38" s="195" t="n">
        <v>1</v>
      </c>
      <c r="C38" s="195" t="n">
        <v>1</v>
      </c>
      <c r="D38" s="132" t="n">
        <f aca="false">IFERROR(MROUND((100*B38/C38),5)-100,0)</f>
        <v>0</v>
      </c>
    </row>
    <row r="39" customFormat="false" ht="15" hidden="false" customHeight="false" outlineLevel="0" collapsed="false">
      <c r="A39" s="133" t="s">
        <v>122</v>
      </c>
      <c r="B39" s="195" t="n">
        <v>1</v>
      </c>
      <c r="C39" s="195" t="n">
        <v>1</v>
      </c>
      <c r="D39" s="132" t="n">
        <f aca="false">IFERROR(MROUND((100*B39/C39),5)-100,0)</f>
        <v>0</v>
      </c>
    </row>
    <row r="40" customFormat="false" ht="15" hidden="false" customHeight="false" outlineLevel="0" collapsed="false">
      <c r="A40" s="133" t="s">
        <v>123</v>
      </c>
      <c r="B40" s="195" t="n">
        <v>1</v>
      </c>
      <c r="C40" s="195" t="n">
        <v>1</v>
      </c>
      <c r="D40" s="132" t="n">
        <f aca="false">IFERROR(MROUND((100*B40/C40),5)-100,0)</f>
        <v>0</v>
      </c>
    </row>
    <row r="41" customFormat="false" ht="15" hidden="false" customHeight="false" outlineLevel="0" collapsed="false">
      <c r="A41" s="133" t="s">
        <v>124</v>
      </c>
      <c r="B41" s="195" t="n">
        <v>2</v>
      </c>
      <c r="C41" s="195" t="n">
        <v>1.33</v>
      </c>
      <c r="D41" s="132" t="n">
        <f aca="false">IFERROR(MROUND((100*B41/C41),5)-100,0)</f>
        <v>50</v>
      </c>
    </row>
    <row r="42" customFormat="false" ht="15" hidden="false" customHeight="false" outlineLevel="0" collapsed="false">
      <c r="A42" s="133" t="s">
        <v>125</v>
      </c>
      <c r="B42" s="195" t="n">
        <v>1</v>
      </c>
      <c r="C42" s="195" t="n">
        <v>1</v>
      </c>
      <c r="D42" s="132" t="n">
        <f aca="false">IFERROR(MROUND((100*B42/C42),5)-100,0)</f>
        <v>0</v>
      </c>
    </row>
    <row r="43" customFormat="false" ht="15" hidden="false" customHeight="false" outlineLevel="0" collapsed="false">
      <c r="A43" s="133" t="s">
        <v>126</v>
      </c>
      <c r="B43" s="195" t="n">
        <v>2</v>
      </c>
      <c r="C43" s="195" t="n">
        <v>1.33</v>
      </c>
      <c r="D43" s="132" t="n">
        <f aca="false">IFERROR(MROUND((100*B43/C43),5)-100,0)</f>
        <v>50</v>
      </c>
    </row>
    <row r="44" customFormat="false" ht="15" hidden="false" customHeight="false" outlineLevel="0" collapsed="false">
      <c r="A44" s="133" t="s">
        <v>127</v>
      </c>
      <c r="B44" s="195" t="n">
        <v>3</v>
      </c>
      <c r="C44" s="195" t="n">
        <v>1.66</v>
      </c>
      <c r="D44" s="132" t="n">
        <f aca="false">IFERROR(MROUND((100*B44/C44),5)-100,0)</f>
        <v>80</v>
      </c>
    </row>
    <row r="45" customFormat="false" ht="15" hidden="false" customHeight="false" outlineLevel="0" collapsed="false">
      <c r="A45" s="133" t="s">
        <v>128</v>
      </c>
      <c r="B45" s="195" t="n">
        <v>2</v>
      </c>
      <c r="C45" s="195" t="n">
        <v>1.33</v>
      </c>
      <c r="D45" s="132" t="n">
        <f aca="false">IFERROR(MROUND((100*B45/C45),5)-100,0)</f>
        <v>50</v>
      </c>
    </row>
    <row r="46" customFormat="false" ht="15" hidden="false" customHeight="false" outlineLevel="0" collapsed="false">
      <c r="A46" s="133" t="s">
        <v>129</v>
      </c>
      <c r="B46" s="195" t="n">
        <v>4</v>
      </c>
      <c r="C46" s="195" t="n">
        <v>1.99</v>
      </c>
      <c r="D46" s="132" t="n">
        <f aca="false">IFERROR(MROUND((100*B46/C46),5)-100,0)</f>
        <v>100</v>
      </c>
    </row>
    <row r="47" customFormat="false" ht="15" hidden="false" customHeight="false" outlineLevel="0" collapsed="false">
      <c r="A47" s="133" t="s">
        <v>130</v>
      </c>
      <c r="B47" s="195" t="n">
        <v>4</v>
      </c>
      <c r="C47" s="195" t="n">
        <v>1.99</v>
      </c>
      <c r="D47" s="132" t="n">
        <f aca="false">IFERROR(MROUND((100*B47/C47),5)-100,0)</f>
        <v>100</v>
      </c>
    </row>
    <row r="48" customFormat="false" ht="15" hidden="false" customHeight="false" outlineLevel="0" collapsed="false">
      <c r="A48" s="133" t="s">
        <v>131</v>
      </c>
      <c r="B48" s="195" t="n">
        <v>3</v>
      </c>
      <c r="C48" s="195" t="n">
        <v>1.66</v>
      </c>
      <c r="D48" s="132" t="n">
        <f aca="false">IFERROR(MROUND((100*B48/C48),5)-100,0)</f>
        <v>80</v>
      </c>
    </row>
    <row r="49" customFormat="false" ht="15" hidden="false" customHeight="false" outlineLevel="0" collapsed="false">
      <c r="A49" s="129" t="s">
        <v>170</v>
      </c>
      <c r="B49" s="195" t="n">
        <v>1</v>
      </c>
      <c r="C49" s="195" t="n">
        <v>1</v>
      </c>
      <c r="D49" s="132" t="n">
        <f aca="false">IFERROR(MROUND((100*B49/C49),5)-100,0)</f>
        <v>0</v>
      </c>
    </row>
    <row r="50" customFormat="false" ht="15" hidden="false" customHeight="false" outlineLevel="0" collapsed="false">
      <c r="A50" s="129" t="s">
        <v>133</v>
      </c>
      <c r="B50" s="195" t="n">
        <v>1</v>
      </c>
      <c r="C50" s="195" t="n">
        <v>1</v>
      </c>
      <c r="D50" s="132" t="n">
        <f aca="false">IFERROR(MROUND((100*B50/C50),5)-100,0)</f>
        <v>0</v>
      </c>
    </row>
    <row r="51" customFormat="false" ht="15" hidden="false" customHeight="false" outlineLevel="0" collapsed="false">
      <c r="A51" s="129" t="s">
        <v>134</v>
      </c>
      <c r="B51" s="195" t="n">
        <v>1</v>
      </c>
      <c r="C51" s="195" t="n">
        <v>1</v>
      </c>
      <c r="D51" s="132" t="n">
        <f aca="false">IFERROR(MROUND((100*B51/C51),5)-100,0)</f>
        <v>0</v>
      </c>
    </row>
    <row r="52" customFormat="false" ht="15" hidden="false" customHeight="false" outlineLevel="0" collapsed="false">
      <c r="A52" s="129" t="s">
        <v>135</v>
      </c>
      <c r="B52" s="195" t="n">
        <v>2</v>
      </c>
      <c r="C52" s="195" t="n">
        <v>1.33</v>
      </c>
      <c r="D52" s="132" t="n">
        <f aca="false">IFERROR(MROUND((100*B52/C52),5)-100,0)</f>
        <v>50</v>
      </c>
    </row>
    <row r="53" customFormat="false" ht="15" hidden="false" customHeight="false" outlineLevel="0" collapsed="false">
      <c r="A53" s="129" t="s">
        <v>136</v>
      </c>
      <c r="B53" s="195" t="n">
        <v>1</v>
      </c>
      <c r="C53" s="195" t="n">
        <v>1</v>
      </c>
      <c r="D53" s="132" t="n">
        <f aca="false">IFERROR(MROUND((100*B53/C53),5)-100,0)</f>
        <v>0</v>
      </c>
    </row>
    <row r="54" customFormat="false" ht="15" hidden="false" customHeight="false" outlineLevel="0" collapsed="false">
      <c r="A54" s="129" t="s">
        <v>137</v>
      </c>
      <c r="B54" s="195" t="n">
        <v>3</v>
      </c>
      <c r="C54" s="195" t="n">
        <v>1.66</v>
      </c>
      <c r="D54" s="132" t="n">
        <f aca="false">IFERROR(MROUND((100*B54/C54),5)-100,0)</f>
        <v>80</v>
      </c>
    </row>
    <row r="55" customFormat="false" ht="15" hidden="false" customHeight="false" outlineLevel="0" collapsed="false">
      <c r="A55" s="129" t="s">
        <v>138</v>
      </c>
      <c r="B55" s="195" t="n">
        <v>1</v>
      </c>
      <c r="C55" s="195" t="n">
        <v>1</v>
      </c>
      <c r="D55" s="132" t="n">
        <f aca="false">IFERROR(MROUND((100*B55/C55),5)-100,0)</f>
        <v>0</v>
      </c>
    </row>
    <row r="56" customFormat="false" ht="15" hidden="false" customHeight="false" outlineLevel="0" collapsed="false">
      <c r="A56" s="129" t="s">
        <v>139</v>
      </c>
      <c r="B56" s="195" t="n">
        <v>1</v>
      </c>
      <c r="C56" s="195" t="n">
        <v>1</v>
      </c>
      <c r="D56" s="132" t="n">
        <f aca="false">IFERROR(MROUND((100*B56/C56),5)-100,0)</f>
        <v>0</v>
      </c>
    </row>
    <row r="57" customFormat="false" ht="15" hidden="false" customHeight="false" outlineLevel="0" collapsed="false">
      <c r="A57" s="129" t="s">
        <v>140</v>
      </c>
      <c r="B57" s="195" t="n">
        <v>1</v>
      </c>
      <c r="C57" s="195" t="n">
        <v>1</v>
      </c>
      <c r="D57" s="132" t="n">
        <f aca="false">IFERROR(MROUND((100*B57/C57),5)-100,0)</f>
        <v>0</v>
      </c>
    </row>
    <row r="58" customFormat="false" ht="15" hidden="false" customHeight="false" outlineLevel="0" collapsed="false">
      <c r="A58" s="129" t="s">
        <v>141</v>
      </c>
      <c r="B58" s="195" t="n">
        <v>3</v>
      </c>
      <c r="C58" s="195" t="n">
        <v>1.66</v>
      </c>
      <c r="D58" s="132" t="n">
        <f aca="false">IFERROR(MROUND((100*B58/C58),5)-100,0)</f>
        <v>80</v>
      </c>
    </row>
    <row r="59" customFormat="false" ht="15" hidden="false" customHeight="false" outlineLevel="0" collapsed="false">
      <c r="A59" s="129" t="s">
        <v>142</v>
      </c>
      <c r="B59" s="195" t="n">
        <v>1</v>
      </c>
      <c r="C59" s="195" t="n">
        <v>1</v>
      </c>
      <c r="D59" s="132" t="n">
        <f aca="false">IFERROR(MROUND((100*B59/C59),5)-100,0)</f>
        <v>0</v>
      </c>
    </row>
    <row r="60" customFormat="false" ht="15" hidden="false" customHeight="false" outlineLevel="0" collapsed="false">
      <c r="A60" s="133" t="s">
        <v>143</v>
      </c>
      <c r="B60" s="195" t="n">
        <v>1</v>
      </c>
      <c r="C60" s="195" t="n">
        <v>1</v>
      </c>
      <c r="D60" s="132" t="n">
        <f aca="false">IFERROR(MROUND((100*B60/C60),5)-100,0)</f>
        <v>0</v>
      </c>
    </row>
    <row r="61" customFormat="false" ht="15" hidden="false" customHeight="false" outlineLevel="0" collapsed="false">
      <c r="A61" s="133" t="s">
        <v>144</v>
      </c>
      <c r="B61" s="195" t="n">
        <v>3</v>
      </c>
      <c r="C61" s="195" t="n">
        <v>1.66</v>
      </c>
      <c r="D61" s="132" t="n">
        <f aca="false">IFERROR(MROUND((100*B61/C61),5)-100,0)</f>
        <v>80</v>
      </c>
    </row>
    <row r="62" customFormat="false" ht="15" hidden="false" customHeight="false" outlineLevel="0" collapsed="false">
      <c r="A62" s="133" t="s">
        <v>145</v>
      </c>
      <c r="B62" s="195" t="n">
        <v>2</v>
      </c>
      <c r="C62" s="195" t="n">
        <v>1.33</v>
      </c>
      <c r="D62" s="132" t="n">
        <f aca="false">IFERROR(MROUND((100*B62/C62),5)-100,0)</f>
        <v>50</v>
      </c>
    </row>
    <row r="63" customFormat="false" ht="15" hidden="false" customHeight="false" outlineLevel="0" collapsed="false">
      <c r="A63" s="133" t="s">
        <v>146</v>
      </c>
      <c r="B63" s="195" t="n">
        <v>4</v>
      </c>
      <c r="C63" s="195" t="n">
        <v>1.99</v>
      </c>
      <c r="D63" s="132" t="n">
        <f aca="false">IFERROR(MROUND((100*B63/C63),5)-100,0)</f>
        <v>100</v>
      </c>
    </row>
    <row r="64" customFormat="false" ht="15" hidden="false" customHeight="false" outlineLevel="0" collapsed="false">
      <c r="A64" s="133" t="s">
        <v>147</v>
      </c>
      <c r="B64" s="195" t="n">
        <v>3</v>
      </c>
      <c r="C64" s="195" t="n">
        <v>1.66</v>
      </c>
      <c r="D64" s="132" t="n">
        <f aca="false">IFERROR(MROUND((100*B64/C64),5)-100,0)</f>
        <v>80</v>
      </c>
    </row>
    <row r="65" customFormat="false" ht="15" hidden="false" customHeight="false" outlineLevel="0" collapsed="false">
      <c r="A65" s="133" t="s">
        <v>148</v>
      </c>
      <c r="B65" s="195" t="n">
        <v>3</v>
      </c>
      <c r="C65" s="195" t="n">
        <v>1.66</v>
      </c>
      <c r="D65" s="132" t="n">
        <f aca="false">IFERROR(MROUND((100*B65/C65),5)-100,0)</f>
        <v>80</v>
      </c>
    </row>
    <row r="66" customFormat="false" ht="15" hidden="false" customHeight="false" outlineLevel="0" collapsed="false">
      <c r="A66" s="129" t="s">
        <v>149</v>
      </c>
      <c r="B66" s="195" t="n">
        <v>3</v>
      </c>
      <c r="C66" s="195" t="n">
        <v>1.66</v>
      </c>
      <c r="D66" s="132" t="n">
        <f aca="false">IFERROR(MROUND((100*B66/C66),5)-100,0)</f>
        <v>80</v>
      </c>
    </row>
    <row r="67" customFormat="false" ht="15" hidden="false" customHeight="false" outlineLevel="0" collapsed="false">
      <c r="A67" s="129" t="s">
        <v>150</v>
      </c>
      <c r="B67" s="195" t="n">
        <v>2</v>
      </c>
      <c r="C67" s="195" t="n">
        <v>1.33</v>
      </c>
      <c r="D67" s="132" t="n">
        <f aca="false">IFERROR(MROUND((100*B67/C67),5)-100,0)</f>
        <v>50</v>
      </c>
    </row>
    <row r="68" customFormat="false" ht="15" hidden="false" customHeight="false" outlineLevel="0" collapsed="false">
      <c r="A68" s="129" t="s">
        <v>151</v>
      </c>
      <c r="B68" s="195" t="n">
        <v>3</v>
      </c>
      <c r="C68" s="195" t="n">
        <v>1.66</v>
      </c>
      <c r="D68" s="132" t="n">
        <f aca="false">IFERROR(MROUND((100*B68/C68),5)-100,0)</f>
        <v>80</v>
      </c>
    </row>
    <row r="69" customFormat="false" ht="15" hidden="false" customHeight="false" outlineLevel="0" collapsed="false">
      <c r="A69" s="129" t="s">
        <v>152</v>
      </c>
      <c r="B69" s="195" t="n">
        <v>3</v>
      </c>
      <c r="C69" s="195" t="n">
        <v>1.66</v>
      </c>
      <c r="D69" s="132" t="n">
        <f aca="false">IFERROR(MROUND((100*B69/C69),5)-100,0)</f>
        <v>80</v>
      </c>
    </row>
  </sheetData>
  <mergeCells count="11">
    <mergeCell ref="A1:F1"/>
    <mergeCell ref="G1:N1"/>
    <mergeCell ref="A3:F3"/>
    <mergeCell ref="G3:N3"/>
    <mergeCell ref="B6:C6"/>
    <mergeCell ref="H6:J6"/>
    <mergeCell ref="B7:C7"/>
    <mergeCell ref="B8:C8"/>
    <mergeCell ref="A26:F26"/>
    <mergeCell ref="G26:N26"/>
    <mergeCell ref="A28:D28"/>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4" man="true" max="16383" min="0"/>
  </rowBreak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C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30" activeCellId="0" sqref="A30"/>
    </sheetView>
  </sheetViews>
  <sheetFormatPr defaultColWidth="8.859375" defaultRowHeight="15" zeroHeight="false" outlineLevelRow="0" outlineLevelCol="0"/>
  <cols>
    <col collapsed="false" customWidth="true" hidden="false" outlineLevel="0" max="3" min="2" style="36" width="13.86"/>
  </cols>
  <sheetData>
    <row r="1" customFormat="false" ht="21" hidden="false" customHeight="true" outlineLevel="0" collapsed="false">
      <c r="A1" s="176" t="s">
        <v>20</v>
      </c>
      <c r="B1" s="52" t="s">
        <v>369</v>
      </c>
      <c r="C1" s="52" t="s">
        <v>370</v>
      </c>
    </row>
    <row r="2" customFormat="false" ht="15" hidden="false" customHeight="false" outlineLevel="0" collapsed="false">
      <c r="A2" s="115" t="s">
        <v>113</v>
      </c>
      <c r="B2" s="196" t="n">
        <v>3</v>
      </c>
      <c r="C2" s="196" t="n">
        <v>1</v>
      </c>
    </row>
    <row r="3" customFormat="false" ht="15" hidden="false" customHeight="false" outlineLevel="0" collapsed="false">
      <c r="A3" s="115" t="s">
        <v>114</v>
      </c>
      <c r="B3" s="196" t="n">
        <v>1</v>
      </c>
      <c r="C3" s="196" t="n">
        <v>1</v>
      </c>
    </row>
    <row r="4" customFormat="false" ht="15" hidden="false" customHeight="false" outlineLevel="0" collapsed="false">
      <c r="A4" s="115" t="s">
        <v>115</v>
      </c>
      <c r="B4" s="196" t="n">
        <v>4</v>
      </c>
      <c r="C4" s="196" t="n">
        <v>1</v>
      </c>
    </row>
    <row r="5" customFormat="false" ht="15" hidden="false" customHeight="false" outlineLevel="0" collapsed="false">
      <c r="A5" s="115" t="s">
        <v>116</v>
      </c>
      <c r="B5" s="196" t="n">
        <v>1</v>
      </c>
      <c r="C5" s="196" t="n">
        <v>1</v>
      </c>
    </row>
    <row r="6" customFormat="false" ht="15" hidden="false" customHeight="false" outlineLevel="0" collapsed="false">
      <c r="A6" s="115" t="s">
        <v>117</v>
      </c>
      <c r="B6" s="196" t="n">
        <v>2</v>
      </c>
      <c r="C6" s="196" t="n">
        <v>1</v>
      </c>
    </row>
    <row r="7" customFormat="false" ht="15" hidden="false" customHeight="false" outlineLevel="0" collapsed="false">
      <c r="A7" s="117" t="s">
        <v>118</v>
      </c>
      <c r="B7" s="196" t="n">
        <v>3</v>
      </c>
      <c r="C7" s="196" t="n">
        <v>1</v>
      </c>
    </row>
    <row r="8" customFormat="false" ht="15" hidden="false" customHeight="false" outlineLevel="0" collapsed="false">
      <c r="A8" s="117" t="s">
        <v>119</v>
      </c>
      <c r="B8" s="196" t="n">
        <v>1</v>
      </c>
      <c r="C8" s="196" t="n">
        <v>1</v>
      </c>
    </row>
    <row r="9" customFormat="false" ht="15" hidden="false" customHeight="false" outlineLevel="0" collapsed="false">
      <c r="A9" s="117" t="s">
        <v>120</v>
      </c>
      <c r="B9" s="196" t="n">
        <v>3</v>
      </c>
      <c r="C9" s="196" t="n">
        <v>1</v>
      </c>
    </row>
    <row r="10" customFormat="false" ht="15" hidden="false" customHeight="false" outlineLevel="0" collapsed="false">
      <c r="A10" s="117" t="s">
        <v>121</v>
      </c>
      <c r="B10" s="196" t="n">
        <v>1</v>
      </c>
      <c r="C10" s="196" t="n">
        <v>1</v>
      </c>
    </row>
    <row r="11" customFormat="false" ht="15" hidden="false" customHeight="false" outlineLevel="0" collapsed="false">
      <c r="A11" s="117" t="s">
        <v>122</v>
      </c>
      <c r="B11" s="196" t="n">
        <v>1</v>
      </c>
      <c r="C11" s="196" t="n">
        <v>1</v>
      </c>
    </row>
    <row r="12" customFormat="false" ht="15" hidden="false" customHeight="false" outlineLevel="0" collapsed="false">
      <c r="A12" s="117" t="s">
        <v>123</v>
      </c>
      <c r="B12" s="196" t="n">
        <v>1</v>
      </c>
      <c r="C12" s="196" t="n">
        <v>1</v>
      </c>
    </row>
    <row r="13" customFormat="false" ht="15" hidden="false" customHeight="false" outlineLevel="0" collapsed="false">
      <c r="A13" s="117" t="s">
        <v>124</v>
      </c>
      <c r="B13" s="196" t="n">
        <v>2</v>
      </c>
      <c r="C13" s="196" t="n">
        <v>1</v>
      </c>
    </row>
    <row r="14" customFormat="false" ht="15" hidden="false" customHeight="false" outlineLevel="0" collapsed="false">
      <c r="A14" s="117" t="s">
        <v>125</v>
      </c>
      <c r="B14" s="196" t="n">
        <v>1</v>
      </c>
      <c r="C14" s="196" t="n">
        <v>1</v>
      </c>
    </row>
    <row r="15" customFormat="false" ht="15" hidden="false" customHeight="false" outlineLevel="0" collapsed="false">
      <c r="A15" s="117" t="s">
        <v>126</v>
      </c>
      <c r="B15" s="196" t="n">
        <v>2</v>
      </c>
      <c r="C15" s="196" t="n">
        <v>1</v>
      </c>
    </row>
    <row r="16" customFormat="false" ht="15" hidden="false" customHeight="false" outlineLevel="0" collapsed="false">
      <c r="A16" s="117" t="s">
        <v>127</v>
      </c>
      <c r="B16" s="196" t="n">
        <v>3</v>
      </c>
      <c r="C16" s="196" t="n">
        <v>1</v>
      </c>
    </row>
    <row r="17" customFormat="false" ht="15" hidden="false" customHeight="false" outlineLevel="0" collapsed="false">
      <c r="A17" s="117" t="s">
        <v>128</v>
      </c>
      <c r="B17" s="196" t="n">
        <v>2</v>
      </c>
      <c r="C17" s="196" t="n">
        <v>1</v>
      </c>
    </row>
    <row r="18" customFormat="false" ht="15" hidden="false" customHeight="false" outlineLevel="0" collapsed="false">
      <c r="A18" s="117" t="s">
        <v>129</v>
      </c>
      <c r="B18" s="196" t="n">
        <v>4</v>
      </c>
      <c r="C18" s="196" t="n">
        <v>1</v>
      </c>
    </row>
    <row r="19" customFormat="false" ht="15" hidden="false" customHeight="false" outlineLevel="0" collapsed="false">
      <c r="A19" s="117" t="s">
        <v>130</v>
      </c>
      <c r="B19" s="196" t="n">
        <v>4</v>
      </c>
      <c r="C19" s="196" t="n">
        <v>1</v>
      </c>
    </row>
    <row r="20" customFormat="false" ht="15" hidden="false" customHeight="false" outlineLevel="0" collapsed="false">
      <c r="A20" s="117" t="s">
        <v>131</v>
      </c>
      <c r="B20" s="196" t="n">
        <v>3</v>
      </c>
      <c r="C20" s="196" t="n">
        <v>1</v>
      </c>
    </row>
    <row r="21" customFormat="false" ht="15" hidden="false" customHeight="false" outlineLevel="0" collapsed="false">
      <c r="A21" s="115" t="s">
        <v>132</v>
      </c>
      <c r="B21" s="196" t="n">
        <v>1</v>
      </c>
      <c r="C21" s="196" t="n">
        <v>1</v>
      </c>
    </row>
    <row r="22" customFormat="false" ht="15" hidden="false" customHeight="false" outlineLevel="0" collapsed="false">
      <c r="A22" s="115" t="s">
        <v>133</v>
      </c>
      <c r="B22" s="196" t="n">
        <v>1</v>
      </c>
      <c r="C22" s="196" t="n">
        <v>1</v>
      </c>
    </row>
    <row r="23" customFormat="false" ht="15" hidden="false" customHeight="false" outlineLevel="0" collapsed="false">
      <c r="A23" s="115" t="s">
        <v>134</v>
      </c>
      <c r="B23" s="196" t="n">
        <v>1</v>
      </c>
      <c r="C23" s="196" t="n">
        <v>1</v>
      </c>
    </row>
    <row r="24" customFormat="false" ht="15" hidden="false" customHeight="false" outlineLevel="0" collapsed="false">
      <c r="A24" s="115" t="s">
        <v>135</v>
      </c>
      <c r="B24" s="196" t="n">
        <v>2</v>
      </c>
      <c r="C24" s="196" t="n">
        <v>1</v>
      </c>
    </row>
    <row r="25" customFormat="false" ht="15" hidden="false" customHeight="false" outlineLevel="0" collapsed="false">
      <c r="A25" s="115" t="s">
        <v>136</v>
      </c>
      <c r="B25" s="196" t="n">
        <v>1</v>
      </c>
      <c r="C25" s="196" t="n">
        <v>1</v>
      </c>
    </row>
    <row r="26" customFormat="false" ht="15" hidden="false" customHeight="false" outlineLevel="0" collapsed="false">
      <c r="A26" s="115" t="s">
        <v>137</v>
      </c>
      <c r="B26" s="196" t="n">
        <v>3</v>
      </c>
      <c r="C26" s="196" t="n">
        <v>1</v>
      </c>
    </row>
    <row r="27" customFormat="false" ht="15" hidden="false" customHeight="false" outlineLevel="0" collapsed="false">
      <c r="A27" s="115" t="s">
        <v>138</v>
      </c>
      <c r="B27" s="196" t="n">
        <v>1</v>
      </c>
      <c r="C27" s="196" t="n">
        <v>1</v>
      </c>
    </row>
    <row r="28" customFormat="false" ht="15" hidden="false" customHeight="false" outlineLevel="0" collapsed="false">
      <c r="A28" s="115" t="s">
        <v>139</v>
      </c>
      <c r="B28" s="196" t="n">
        <v>1</v>
      </c>
      <c r="C28" s="196" t="n">
        <v>1</v>
      </c>
    </row>
    <row r="29" customFormat="false" ht="15" hidden="false" customHeight="false" outlineLevel="0" collapsed="false">
      <c r="A29" s="115" t="s">
        <v>140</v>
      </c>
      <c r="B29" s="196" t="n">
        <v>1</v>
      </c>
      <c r="C29" s="196" t="n">
        <v>1</v>
      </c>
    </row>
    <row r="30" customFormat="false" ht="15" hidden="false" customHeight="false" outlineLevel="0" collapsed="false">
      <c r="A30" s="115" t="s">
        <v>141</v>
      </c>
      <c r="B30" s="196" t="n">
        <v>3</v>
      </c>
      <c r="C30" s="196" t="n">
        <v>1</v>
      </c>
    </row>
    <row r="31" customFormat="false" ht="15" hidden="false" customHeight="false" outlineLevel="0" collapsed="false">
      <c r="A31" s="115" t="s">
        <v>142</v>
      </c>
      <c r="B31" s="196" t="n">
        <v>1</v>
      </c>
      <c r="C31" s="196" t="n">
        <v>1</v>
      </c>
    </row>
    <row r="32" customFormat="false" ht="15" hidden="false" customHeight="false" outlineLevel="0" collapsed="false">
      <c r="A32" s="117" t="s">
        <v>143</v>
      </c>
      <c r="B32" s="196" t="n">
        <v>1</v>
      </c>
      <c r="C32" s="196" t="n">
        <v>1</v>
      </c>
    </row>
    <row r="33" customFormat="false" ht="15" hidden="false" customHeight="false" outlineLevel="0" collapsed="false">
      <c r="A33" s="117" t="s">
        <v>144</v>
      </c>
      <c r="B33" s="196" t="n">
        <v>3</v>
      </c>
      <c r="C33" s="196" t="n">
        <v>1</v>
      </c>
    </row>
    <row r="34" customFormat="false" ht="15" hidden="false" customHeight="false" outlineLevel="0" collapsed="false">
      <c r="A34" s="117" t="s">
        <v>145</v>
      </c>
      <c r="B34" s="196" t="n">
        <v>2</v>
      </c>
      <c r="C34" s="196" t="n">
        <v>1</v>
      </c>
    </row>
    <row r="35" customFormat="false" ht="15" hidden="false" customHeight="false" outlineLevel="0" collapsed="false">
      <c r="A35" s="117" t="s">
        <v>146</v>
      </c>
      <c r="B35" s="196" t="n">
        <v>4</v>
      </c>
      <c r="C35" s="196" t="n">
        <v>1</v>
      </c>
    </row>
    <row r="36" customFormat="false" ht="15" hidden="false" customHeight="false" outlineLevel="0" collapsed="false">
      <c r="A36" s="117" t="s">
        <v>147</v>
      </c>
      <c r="B36" s="196" t="n">
        <v>3</v>
      </c>
      <c r="C36" s="196" t="n">
        <v>1</v>
      </c>
    </row>
    <row r="37" customFormat="false" ht="15" hidden="false" customHeight="false" outlineLevel="0" collapsed="false">
      <c r="A37" s="117" t="s">
        <v>148</v>
      </c>
      <c r="B37" s="196" t="n">
        <v>3</v>
      </c>
      <c r="C37" s="196" t="n">
        <v>1</v>
      </c>
    </row>
    <row r="38" customFormat="false" ht="15" hidden="false" customHeight="false" outlineLevel="0" collapsed="false">
      <c r="A38" s="115" t="s">
        <v>149</v>
      </c>
      <c r="B38" s="196" t="n">
        <v>3</v>
      </c>
      <c r="C38" s="196" t="n">
        <v>1</v>
      </c>
    </row>
    <row r="39" customFormat="false" ht="15" hidden="false" customHeight="false" outlineLevel="0" collapsed="false">
      <c r="A39" s="115" t="s">
        <v>150</v>
      </c>
      <c r="B39" s="196" t="n">
        <v>2</v>
      </c>
      <c r="C39" s="196" t="n">
        <v>1</v>
      </c>
    </row>
    <row r="40" customFormat="false" ht="15" hidden="false" customHeight="false" outlineLevel="0" collapsed="false">
      <c r="A40" s="115" t="s">
        <v>151</v>
      </c>
      <c r="B40" s="196" t="n">
        <v>3</v>
      </c>
      <c r="C40" s="196" t="n">
        <v>1</v>
      </c>
    </row>
    <row r="41" customFormat="false" ht="15" hidden="false" customHeight="false" outlineLevel="0" collapsed="false">
      <c r="A41" s="115" t="s">
        <v>152</v>
      </c>
      <c r="B41" s="196" t="n">
        <v>3</v>
      </c>
      <c r="C41" s="196" t="n">
        <v>1</v>
      </c>
    </row>
  </sheetData>
  <conditionalFormatting sqref="B2:C41">
    <cfRule type="cellIs" priority="2" operator="greaterThanOrEqual" aboveAverage="0" equalAverage="0" bottom="0" percent="0" rank="0" text="" dxfId="2">
      <formula>3</formula>
    </cfRule>
    <cfRule type="cellIs" priority="3" operator="greaterThanOrEqual" aboveAverage="0" equalAverage="0" bottom="0" percent="0" rank="0" text="" dxfId="3">
      <formula>2</formula>
    </cfRule>
    <cfRule type="cellIs" priority="4" operator="greaterThanOrEqual" aboveAverage="0" equalAverage="0" bottom="0" percent="0" rank="0" text="" dxfId="4">
      <formula>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P6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F9" activeCellId="0" sqref="F9"/>
    </sheetView>
  </sheetViews>
  <sheetFormatPr defaultColWidth="8.859375" defaultRowHeight="15" zeroHeight="false" outlineLevelRow="0" outlineLevelCol="0"/>
  <cols>
    <col collapsed="false" customWidth="true" hidden="false" outlineLevel="0" max="1" min="1" style="0" width="12.15"/>
    <col collapsed="false" customWidth="true" hidden="false" outlineLevel="0" max="2" min="2" style="0" width="7.15"/>
    <col collapsed="false" customWidth="true" hidden="false" outlineLevel="0" max="3" min="3" style="0" width="7.71"/>
    <col collapsed="false" customWidth="true" hidden="false" outlineLevel="0" max="4" min="4" style="0" width="10.71"/>
    <col collapsed="false" customWidth="true" hidden="false" outlineLevel="0" max="5" min="5" style="0" width="28.86"/>
    <col collapsed="false" customWidth="true" hidden="false" outlineLevel="0" max="6" min="6" style="0" width="27.42"/>
    <col collapsed="false" customWidth="true" hidden="false" outlineLevel="0" max="7" min="7" style="0" width="13.42"/>
    <col collapsed="false" customWidth="true" hidden="false" outlineLevel="0" max="16" min="16" style="0" width="11.14"/>
  </cols>
  <sheetData>
    <row r="1" s="25" customFormat="true" ht="32.25" hidden="false" customHeight="true" outlineLevel="0" collapsed="false">
      <c r="A1" s="79" t="s">
        <v>371</v>
      </c>
      <c r="B1" s="79"/>
      <c r="C1" s="79"/>
      <c r="D1" s="79"/>
      <c r="E1" s="79"/>
      <c r="F1" s="79"/>
      <c r="G1" s="79" t="s">
        <v>371</v>
      </c>
      <c r="H1" s="79"/>
      <c r="I1" s="79"/>
      <c r="J1" s="79"/>
      <c r="K1" s="79"/>
      <c r="L1" s="79"/>
      <c r="M1" s="79"/>
      <c r="N1" s="79"/>
      <c r="O1" s="79"/>
      <c r="P1" s="79"/>
    </row>
    <row r="2" customFormat="false" ht="15.75" hidden="false" customHeight="true" outlineLevel="0" collapsed="false"/>
    <row r="3" s="25" customFormat="true" ht="21" hidden="false" customHeight="true" outlineLevel="0" collapsed="false">
      <c r="A3" s="82" t="s">
        <v>372</v>
      </c>
      <c r="B3" s="82"/>
      <c r="C3" s="82"/>
      <c r="D3" s="82"/>
      <c r="E3" s="82"/>
      <c r="F3" s="82"/>
      <c r="G3" s="82" t="s">
        <v>372</v>
      </c>
      <c r="H3" s="82"/>
      <c r="I3" s="82"/>
      <c r="J3" s="82"/>
      <c r="K3" s="82"/>
      <c r="L3" s="82"/>
      <c r="M3" s="82"/>
      <c r="N3" s="82"/>
      <c r="O3" s="82"/>
      <c r="P3" s="82"/>
    </row>
    <row r="4" customFormat="false" ht="12" hidden="false" customHeight="true" outlineLevel="0" collapsed="false"/>
    <row r="5" customFormat="false" ht="6.75" hidden="false" customHeight="true" outlineLevel="0" collapsed="false"/>
    <row r="6" s="84" customFormat="true" ht="27.75" hidden="false" customHeight="true" outlineLevel="0" collapsed="false">
      <c r="A6" s="184" t="s">
        <v>94</v>
      </c>
      <c r="B6" s="87" t="s">
        <v>373</v>
      </c>
      <c r="C6" s="87"/>
      <c r="D6" s="197" t="s">
        <v>96</v>
      </c>
      <c r="H6" s="187" t="s">
        <v>368</v>
      </c>
      <c r="I6" s="187"/>
      <c r="J6" s="187"/>
      <c r="K6" s="187"/>
      <c r="L6" s="187"/>
    </row>
    <row r="7" customFormat="false" ht="15" hidden="false" customHeight="false" outlineLevel="0" collapsed="false">
      <c r="A7" s="198" t="s">
        <v>369</v>
      </c>
      <c r="B7" s="199" t="n">
        <v>1</v>
      </c>
      <c r="C7" s="199"/>
      <c r="D7" s="200" t="n">
        <v>0</v>
      </c>
    </row>
    <row r="8" customFormat="false" ht="15" hidden="false" customHeight="false" outlineLevel="0" collapsed="false">
      <c r="A8" s="198" t="s">
        <v>370</v>
      </c>
      <c r="B8" s="199" t="n">
        <v>0</v>
      </c>
      <c r="C8" s="199"/>
      <c r="D8" s="200" t="n">
        <v>1</v>
      </c>
    </row>
    <row r="9" customFormat="false" ht="15" hidden="false" customHeight="false" outlineLevel="0" collapsed="false">
      <c r="A9" s="198" t="s">
        <v>374</v>
      </c>
      <c r="B9" s="201" t="n">
        <v>0</v>
      </c>
      <c r="C9" s="201"/>
      <c r="D9" s="202" t="n">
        <v>0</v>
      </c>
    </row>
    <row r="10" customFormat="false" ht="15.75" hidden="false" customHeight="true" outlineLevel="0" collapsed="false">
      <c r="E10" s="39"/>
      <c r="F10" s="39"/>
    </row>
    <row r="11" s="95" customFormat="true" ht="207.75" hidden="false" customHeight="true" outlineLevel="0" collapsed="false">
      <c r="A11" s="125" t="s">
        <v>101</v>
      </c>
      <c r="B11" s="98"/>
    </row>
    <row r="12" s="95" customFormat="true" ht="12.75" hidden="false" customHeight="true" outlineLevel="0" collapsed="false">
      <c r="A12" s="125" t="s">
        <v>102</v>
      </c>
      <c r="B12" s="98"/>
    </row>
    <row r="13" s="95" customFormat="true" ht="12.75" hidden="false" customHeight="true" outlineLevel="0" collapsed="false">
      <c r="A13" s="125"/>
      <c r="B13" s="98"/>
    </row>
    <row r="14" s="95" customFormat="true" ht="12.75" hidden="false" customHeight="true" outlineLevel="0" collapsed="false">
      <c r="A14" s="125"/>
      <c r="B14" s="98"/>
    </row>
    <row r="15" s="95" customFormat="true" ht="12.75" hidden="false" customHeight="true" outlineLevel="0" collapsed="false">
      <c r="A15" s="125"/>
      <c r="B15" s="98"/>
    </row>
    <row r="16" s="95" customFormat="true" ht="12.75" hidden="false" customHeight="true" outlineLevel="0" collapsed="false">
      <c r="A16" s="125"/>
      <c r="B16" s="98"/>
    </row>
    <row r="17" s="95" customFormat="true" ht="12.75" hidden="false" customHeight="true" outlineLevel="0" collapsed="false">
      <c r="A17" s="125"/>
      <c r="B17" s="98"/>
    </row>
    <row r="18" s="95" customFormat="true" ht="12.75" hidden="false" customHeight="true" outlineLevel="0" collapsed="false">
      <c r="A18" s="125"/>
      <c r="B18" s="98"/>
    </row>
    <row r="19" s="95" customFormat="true" ht="12.75" hidden="false" customHeight="true" outlineLevel="0" collapsed="false">
      <c r="A19" s="125"/>
      <c r="B19" s="98"/>
    </row>
    <row r="20" s="95" customFormat="true" ht="12.75" hidden="false" customHeight="true" outlineLevel="0" collapsed="false">
      <c r="A20" s="125"/>
      <c r="B20" s="98"/>
    </row>
    <row r="21" s="95" customFormat="true" ht="12.75" hidden="false" customHeight="true" outlineLevel="0" collapsed="false">
      <c r="A21" s="125"/>
      <c r="B21" s="98"/>
    </row>
    <row r="22" s="95" customFormat="true" ht="12.75" hidden="false" customHeight="true" outlineLevel="0" collapsed="false">
      <c r="A22" s="125"/>
      <c r="B22" s="98"/>
    </row>
    <row r="23" s="95" customFormat="true" ht="12.75" hidden="false" customHeight="true" outlineLevel="0" collapsed="false">
      <c r="A23" s="125"/>
      <c r="B23" s="98"/>
    </row>
    <row r="24" s="95" customFormat="true" ht="12.75" hidden="false" customHeight="true" outlineLevel="0" collapsed="false">
      <c r="A24" s="125" t="s">
        <v>103</v>
      </c>
      <c r="B24" s="98" t="n">
        <v>1</v>
      </c>
    </row>
    <row r="25" s="95" customFormat="true" ht="12.75" hidden="false" customHeight="true" outlineLevel="0" collapsed="false">
      <c r="E25" s="126"/>
      <c r="F25" s="127"/>
    </row>
    <row r="26" s="84" customFormat="true" ht="24" hidden="false" customHeight="true" outlineLevel="0" collapsed="false">
      <c r="A26" s="99" t="s">
        <v>104</v>
      </c>
      <c r="B26" s="99"/>
      <c r="C26" s="99"/>
      <c r="D26" s="99"/>
      <c r="E26" s="99"/>
      <c r="F26" s="99"/>
      <c r="G26" s="99" t="s">
        <v>104</v>
      </c>
      <c r="H26" s="99"/>
      <c r="I26" s="99"/>
      <c r="J26" s="99"/>
      <c r="K26" s="99"/>
      <c r="L26" s="99"/>
      <c r="M26" s="99"/>
      <c r="N26" s="99"/>
      <c r="O26" s="99"/>
      <c r="P26" s="99"/>
    </row>
    <row r="27" customFormat="false" ht="9" hidden="false" customHeight="true" outlineLevel="0" collapsed="false"/>
    <row r="28" s="84" customFormat="true" ht="32.25" hidden="false" customHeight="true" outlineLevel="0" collapsed="false">
      <c r="A28" s="194" t="s">
        <v>169</v>
      </c>
      <c r="B28" s="194"/>
      <c r="C28" s="194"/>
      <c r="D28" s="194"/>
    </row>
    <row r="29" s="84" customFormat="true" ht="45" hidden="false" customHeight="true" outlineLevel="0" collapsed="false">
      <c r="A29" s="104" t="s">
        <v>106</v>
      </c>
      <c r="B29" s="105" t="s">
        <v>107</v>
      </c>
      <c r="C29" s="105" t="s">
        <v>108</v>
      </c>
      <c r="D29" s="105" t="s">
        <v>109</v>
      </c>
    </row>
    <row r="30" customFormat="false" ht="15" hidden="false" customHeight="false" outlineLevel="0" collapsed="false">
      <c r="A30" s="129" t="s">
        <v>113</v>
      </c>
      <c r="B30" s="195" t="n">
        <f aca="false" t="array" ref="B30:B69">MMULT(DF6map!B2:D41,DF6!B7:B9)</f>
        <v>3</v>
      </c>
      <c r="C30" s="195" t="n">
        <f aca="false" t="array" ref="C30:C69">MMULT(DF6map!B2:D41,DF6!D7:D9)</f>
        <v>2</v>
      </c>
      <c r="D30" s="132" t="n">
        <f aca="false">IFERROR(MROUND((100*B30/C30),5)-100,0)</f>
        <v>50</v>
      </c>
    </row>
    <row r="31" customFormat="false" ht="15" hidden="false" customHeight="false" outlineLevel="0" collapsed="false">
      <c r="A31" s="129" t="s">
        <v>114</v>
      </c>
      <c r="B31" s="195" t="n">
        <v>1</v>
      </c>
      <c r="C31" s="195" t="n">
        <v>1</v>
      </c>
      <c r="D31" s="132" t="n">
        <f aca="false">IFERROR(MROUND((100*B31/C31),5)-100,0)</f>
        <v>0</v>
      </c>
      <c r="I31" s="36"/>
    </row>
    <row r="32" customFormat="false" ht="15" hidden="false" customHeight="false" outlineLevel="0" collapsed="false">
      <c r="A32" s="129" t="s">
        <v>115</v>
      </c>
      <c r="B32" s="195" t="n">
        <v>4</v>
      </c>
      <c r="C32" s="195" t="n">
        <v>2</v>
      </c>
      <c r="D32" s="132" t="n">
        <f aca="false">IFERROR(MROUND((100*B32/C32),5)-100,0)</f>
        <v>100</v>
      </c>
    </row>
    <row r="33" customFormat="false" ht="15" hidden="false" customHeight="false" outlineLevel="0" collapsed="false">
      <c r="A33" s="129" t="s">
        <v>116</v>
      </c>
      <c r="B33" s="195" t="n">
        <v>1</v>
      </c>
      <c r="C33" s="195" t="n">
        <v>1</v>
      </c>
      <c r="D33" s="132" t="n">
        <f aca="false">IFERROR(MROUND((100*B33/C33),5)-100,0)</f>
        <v>0</v>
      </c>
    </row>
    <row r="34" customFormat="false" ht="15" hidden="false" customHeight="false" outlineLevel="0" collapsed="false">
      <c r="A34" s="129" t="s">
        <v>117</v>
      </c>
      <c r="B34" s="195" t="n">
        <v>1.5</v>
      </c>
      <c r="C34" s="195" t="n">
        <v>1</v>
      </c>
      <c r="D34" s="132" t="n">
        <f aca="false">IFERROR(MROUND((100*B34/C34),5)-100,0)</f>
        <v>50</v>
      </c>
    </row>
    <row r="35" customFormat="false" ht="15" hidden="false" customHeight="false" outlineLevel="0" collapsed="false">
      <c r="A35" s="133" t="s">
        <v>118</v>
      </c>
      <c r="B35" s="195" t="n">
        <v>2</v>
      </c>
      <c r="C35" s="195" t="n">
        <v>1.5</v>
      </c>
      <c r="D35" s="132" t="n">
        <f aca="false">IFERROR(MROUND((100*B35/C35),5)-100,0)</f>
        <v>35</v>
      </c>
    </row>
    <row r="36" customFormat="false" ht="15" hidden="false" customHeight="false" outlineLevel="0" collapsed="false">
      <c r="A36" s="133" t="s">
        <v>119</v>
      </c>
      <c r="B36" s="195" t="n">
        <v>1</v>
      </c>
      <c r="C36" s="195" t="n">
        <v>1</v>
      </c>
      <c r="D36" s="132" t="n">
        <f aca="false">IFERROR(MROUND((100*B36/C36),5)-100,0)</f>
        <v>0</v>
      </c>
    </row>
    <row r="37" customFormat="false" ht="15" hidden="false" customHeight="false" outlineLevel="0" collapsed="false">
      <c r="A37" s="133" t="s">
        <v>120</v>
      </c>
      <c r="B37" s="195" t="n">
        <v>1</v>
      </c>
      <c r="C37" s="195" t="n">
        <v>1</v>
      </c>
      <c r="D37" s="132" t="n">
        <f aca="false">IFERROR(MROUND((100*B37/C37),5)-100,0)</f>
        <v>0</v>
      </c>
    </row>
    <row r="38" customFormat="false" ht="15" hidden="false" customHeight="false" outlineLevel="0" collapsed="false">
      <c r="A38" s="133" t="s">
        <v>121</v>
      </c>
      <c r="B38" s="195" t="n">
        <v>1</v>
      </c>
      <c r="C38" s="195" t="n">
        <v>1</v>
      </c>
      <c r="D38" s="132" t="n">
        <f aca="false">IFERROR(MROUND((100*B38/C38),5)-100,0)</f>
        <v>0</v>
      </c>
    </row>
    <row r="39" customFormat="false" ht="15" hidden="false" customHeight="false" outlineLevel="0" collapsed="false">
      <c r="A39" s="133" t="s">
        <v>122</v>
      </c>
      <c r="B39" s="195" t="n">
        <v>1</v>
      </c>
      <c r="C39" s="195" t="n">
        <v>1</v>
      </c>
      <c r="D39" s="132" t="n">
        <f aca="false">IFERROR(MROUND((100*B39/C39),5)-100,0)</f>
        <v>0</v>
      </c>
    </row>
    <row r="40" customFormat="false" ht="15" hidden="false" customHeight="false" outlineLevel="0" collapsed="false">
      <c r="A40" s="133" t="s">
        <v>123</v>
      </c>
      <c r="B40" s="195" t="n">
        <v>1</v>
      </c>
      <c r="C40" s="195" t="n">
        <v>1</v>
      </c>
      <c r="D40" s="132" t="n">
        <f aca="false">IFERROR(MROUND((100*B40/C40),5)-100,0)</f>
        <v>0</v>
      </c>
    </row>
    <row r="41" customFormat="false" ht="15" hidden="false" customHeight="false" outlineLevel="0" collapsed="false">
      <c r="A41" s="133" t="s">
        <v>124</v>
      </c>
      <c r="B41" s="195" t="n">
        <v>1</v>
      </c>
      <c r="C41" s="195" t="n">
        <v>1</v>
      </c>
      <c r="D41" s="132" t="n">
        <f aca="false">IFERROR(MROUND((100*B41/C41),5)-100,0)</f>
        <v>0</v>
      </c>
    </row>
    <row r="42" customFormat="false" ht="15" hidden="false" customHeight="false" outlineLevel="0" collapsed="false">
      <c r="A42" s="133" t="s">
        <v>125</v>
      </c>
      <c r="B42" s="195" t="n">
        <v>1</v>
      </c>
      <c r="C42" s="195" t="n">
        <v>1</v>
      </c>
      <c r="D42" s="132" t="n">
        <f aca="false">IFERROR(MROUND((100*B42/C42),5)-100,0)</f>
        <v>0</v>
      </c>
    </row>
    <row r="43" customFormat="false" ht="15" hidden="false" customHeight="false" outlineLevel="0" collapsed="false">
      <c r="A43" s="133" t="s">
        <v>126</v>
      </c>
      <c r="B43" s="195" t="n">
        <v>1</v>
      </c>
      <c r="C43" s="195" t="n">
        <v>1</v>
      </c>
      <c r="D43" s="132" t="n">
        <f aca="false">IFERROR(MROUND((100*B43/C43),5)-100,0)</f>
        <v>0</v>
      </c>
    </row>
    <row r="44" customFormat="false" ht="15" hidden="false" customHeight="false" outlineLevel="0" collapsed="false">
      <c r="A44" s="133" t="s">
        <v>127</v>
      </c>
      <c r="B44" s="195" t="n">
        <v>1.5</v>
      </c>
      <c r="C44" s="195" t="n">
        <v>1</v>
      </c>
      <c r="D44" s="132" t="n">
        <f aca="false">IFERROR(MROUND((100*B44/C44),5)-100,0)</f>
        <v>50</v>
      </c>
    </row>
    <row r="45" customFormat="false" ht="15" hidden="false" customHeight="false" outlineLevel="0" collapsed="false">
      <c r="A45" s="133" t="s">
        <v>128</v>
      </c>
      <c r="B45" s="195" t="n">
        <v>1</v>
      </c>
      <c r="C45" s="195" t="n">
        <v>1</v>
      </c>
      <c r="D45" s="132" t="n">
        <f aca="false">IFERROR(MROUND((100*B45/C45),5)-100,0)</f>
        <v>0</v>
      </c>
    </row>
    <row r="46" customFormat="false" ht="15" hidden="false" customHeight="false" outlineLevel="0" collapsed="false">
      <c r="A46" s="133" t="s">
        <v>129</v>
      </c>
      <c r="B46" s="195" t="n">
        <v>4</v>
      </c>
      <c r="C46" s="195" t="n">
        <v>2</v>
      </c>
      <c r="D46" s="132" t="n">
        <f aca="false">IFERROR(MROUND((100*B46/C46),5)-100,0)</f>
        <v>100</v>
      </c>
    </row>
    <row r="47" customFormat="false" ht="15" hidden="false" customHeight="false" outlineLevel="0" collapsed="false">
      <c r="A47" s="133" t="s">
        <v>130</v>
      </c>
      <c r="B47" s="195" t="n">
        <v>1.5</v>
      </c>
      <c r="C47" s="195" t="n">
        <v>1</v>
      </c>
      <c r="D47" s="132" t="n">
        <f aca="false">IFERROR(MROUND((100*B47/C47),5)-100,0)</f>
        <v>50</v>
      </c>
    </row>
    <row r="48" customFormat="false" ht="15" hidden="false" customHeight="false" outlineLevel="0" collapsed="false">
      <c r="A48" s="133" t="s">
        <v>131</v>
      </c>
      <c r="B48" s="195" t="n">
        <v>2</v>
      </c>
      <c r="C48" s="195" t="n">
        <v>1.5</v>
      </c>
      <c r="D48" s="132" t="n">
        <f aca="false">IFERROR(MROUND((100*B48/C48),5)-100,0)</f>
        <v>35</v>
      </c>
    </row>
    <row r="49" customFormat="false" ht="15" hidden="false" customHeight="false" outlineLevel="0" collapsed="false">
      <c r="A49" s="129" t="s">
        <v>170</v>
      </c>
      <c r="B49" s="195" t="n">
        <v>1</v>
      </c>
      <c r="C49" s="195" t="n">
        <v>1</v>
      </c>
      <c r="D49" s="132" t="n">
        <f aca="false">IFERROR(MROUND((100*B49/C49),5)-100,0)</f>
        <v>0</v>
      </c>
    </row>
    <row r="50" customFormat="false" ht="15" hidden="false" customHeight="false" outlineLevel="0" collapsed="false">
      <c r="A50" s="129" t="s">
        <v>133</v>
      </c>
      <c r="B50" s="195" t="n">
        <v>1</v>
      </c>
      <c r="C50" s="195" t="n">
        <v>1</v>
      </c>
      <c r="D50" s="132" t="n">
        <f aca="false">IFERROR(MROUND((100*B50/C50),5)-100,0)</f>
        <v>0</v>
      </c>
    </row>
    <row r="51" customFormat="false" ht="15" hidden="false" customHeight="false" outlineLevel="0" collapsed="false">
      <c r="A51" s="129" t="s">
        <v>134</v>
      </c>
      <c r="B51" s="195" t="n">
        <v>1</v>
      </c>
      <c r="C51" s="195" t="n">
        <v>1</v>
      </c>
      <c r="D51" s="132" t="n">
        <f aca="false">IFERROR(MROUND((100*B51/C51),5)-100,0)</f>
        <v>0</v>
      </c>
    </row>
    <row r="52" customFormat="false" ht="15" hidden="false" customHeight="false" outlineLevel="0" collapsed="false">
      <c r="A52" s="129" t="s">
        <v>135</v>
      </c>
      <c r="B52" s="195" t="n">
        <v>1</v>
      </c>
      <c r="C52" s="195" t="n">
        <v>1</v>
      </c>
      <c r="D52" s="132" t="n">
        <f aca="false">IFERROR(MROUND((100*B52/C52),5)-100,0)</f>
        <v>0</v>
      </c>
    </row>
    <row r="53" customFormat="false" ht="15" hidden="false" customHeight="false" outlineLevel="0" collapsed="false">
      <c r="A53" s="129" t="s">
        <v>136</v>
      </c>
      <c r="B53" s="195" t="n">
        <v>1</v>
      </c>
      <c r="C53" s="195" t="n">
        <v>1</v>
      </c>
      <c r="D53" s="132" t="n">
        <f aca="false">IFERROR(MROUND((100*B53/C53),5)-100,0)</f>
        <v>0</v>
      </c>
    </row>
    <row r="54" customFormat="false" ht="15" hidden="false" customHeight="false" outlineLevel="0" collapsed="false">
      <c r="A54" s="129" t="s">
        <v>137</v>
      </c>
      <c r="B54" s="195" t="n">
        <v>1</v>
      </c>
      <c r="C54" s="195" t="n">
        <v>1</v>
      </c>
      <c r="D54" s="132" t="n">
        <f aca="false">IFERROR(MROUND((100*B54/C54),5)-100,0)</f>
        <v>0</v>
      </c>
    </row>
    <row r="55" customFormat="false" ht="15" hidden="false" customHeight="false" outlineLevel="0" collapsed="false">
      <c r="A55" s="129" t="s">
        <v>138</v>
      </c>
      <c r="B55" s="195" t="n">
        <v>1</v>
      </c>
      <c r="C55" s="195" t="n">
        <v>1</v>
      </c>
      <c r="D55" s="132" t="n">
        <f aca="false">IFERROR(MROUND((100*B55/C55),5)-100,0)</f>
        <v>0</v>
      </c>
    </row>
    <row r="56" customFormat="false" ht="15" hidden="false" customHeight="false" outlineLevel="0" collapsed="false">
      <c r="A56" s="129" t="s">
        <v>139</v>
      </c>
      <c r="B56" s="195" t="n">
        <v>1</v>
      </c>
      <c r="C56" s="195" t="n">
        <v>1</v>
      </c>
      <c r="D56" s="132" t="n">
        <f aca="false">IFERROR(MROUND((100*B56/C56),5)-100,0)</f>
        <v>0</v>
      </c>
    </row>
    <row r="57" customFormat="false" ht="15" hidden="false" customHeight="false" outlineLevel="0" collapsed="false">
      <c r="A57" s="129" t="s">
        <v>140</v>
      </c>
      <c r="B57" s="195" t="n">
        <v>1</v>
      </c>
      <c r="C57" s="195" t="n">
        <v>1</v>
      </c>
      <c r="D57" s="132" t="n">
        <f aca="false">IFERROR(MROUND((100*B57/C57),5)-100,0)</f>
        <v>0</v>
      </c>
    </row>
    <row r="58" customFormat="false" ht="15" hidden="false" customHeight="false" outlineLevel="0" collapsed="false">
      <c r="A58" s="129" t="s">
        <v>141</v>
      </c>
      <c r="B58" s="195" t="n">
        <v>1</v>
      </c>
      <c r="C58" s="195" t="n">
        <v>1</v>
      </c>
      <c r="D58" s="132" t="n">
        <f aca="false">IFERROR(MROUND((100*B58/C58),5)-100,0)</f>
        <v>0</v>
      </c>
    </row>
    <row r="59" customFormat="false" ht="15" hidden="false" customHeight="false" outlineLevel="0" collapsed="false">
      <c r="A59" s="129" t="s">
        <v>142</v>
      </c>
      <c r="B59" s="195" t="n">
        <v>1</v>
      </c>
      <c r="C59" s="195" t="n">
        <v>1</v>
      </c>
      <c r="D59" s="132" t="n">
        <f aca="false">IFERROR(MROUND((100*B59/C59),5)-100,0)</f>
        <v>0</v>
      </c>
    </row>
    <row r="60" customFormat="false" ht="15" hidden="false" customHeight="false" outlineLevel="0" collapsed="false">
      <c r="A60" s="133" t="s">
        <v>143</v>
      </c>
      <c r="B60" s="195" t="n">
        <v>1</v>
      </c>
      <c r="C60" s="195" t="n">
        <v>1</v>
      </c>
      <c r="D60" s="132" t="n">
        <f aca="false">IFERROR(MROUND((100*B60/C60),5)-100,0)</f>
        <v>0</v>
      </c>
    </row>
    <row r="61" customFormat="false" ht="15" hidden="false" customHeight="false" outlineLevel="0" collapsed="false">
      <c r="A61" s="133" t="s">
        <v>144</v>
      </c>
      <c r="B61" s="195" t="n">
        <v>1</v>
      </c>
      <c r="C61" s="195" t="n">
        <v>1</v>
      </c>
      <c r="D61" s="132" t="n">
        <f aca="false">IFERROR(MROUND((100*B61/C61),5)-100,0)</f>
        <v>0</v>
      </c>
    </row>
    <row r="62" customFormat="false" ht="15" hidden="false" customHeight="false" outlineLevel="0" collapsed="false">
      <c r="A62" s="133" t="s">
        <v>145</v>
      </c>
      <c r="B62" s="195" t="n">
        <v>1</v>
      </c>
      <c r="C62" s="195" t="n">
        <v>1</v>
      </c>
      <c r="D62" s="132" t="n">
        <f aca="false">IFERROR(MROUND((100*B62/C62),5)-100,0)</f>
        <v>0</v>
      </c>
    </row>
    <row r="63" customFormat="false" ht="15" hidden="false" customHeight="false" outlineLevel="0" collapsed="false">
      <c r="A63" s="133" t="s">
        <v>146</v>
      </c>
      <c r="B63" s="195" t="n">
        <v>1.5</v>
      </c>
      <c r="C63" s="195" t="n">
        <v>1</v>
      </c>
      <c r="D63" s="132" t="n">
        <f aca="false">IFERROR(MROUND((100*B63/C63),5)-100,0)</f>
        <v>50</v>
      </c>
    </row>
    <row r="64" customFormat="false" ht="15" hidden="false" customHeight="false" outlineLevel="0" collapsed="false">
      <c r="A64" s="133" t="s">
        <v>147</v>
      </c>
      <c r="B64" s="195" t="n">
        <v>2</v>
      </c>
      <c r="C64" s="195" t="n">
        <v>1</v>
      </c>
      <c r="D64" s="132" t="n">
        <f aca="false">IFERROR(MROUND((100*B64/C64),5)-100,0)</f>
        <v>100</v>
      </c>
    </row>
    <row r="65" customFormat="false" ht="15" hidden="false" customHeight="false" outlineLevel="0" collapsed="false">
      <c r="A65" s="133" t="s">
        <v>148</v>
      </c>
      <c r="B65" s="195" t="n">
        <v>1</v>
      </c>
      <c r="C65" s="195" t="n">
        <v>1</v>
      </c>
      <c r="D65" s="132" t="n">
        <f aca="false">IFERROR(MROUND((100*B65/C65),5)-100,0)</f>
        <v>0</v>
      </c>
    </row>
    <row r="66" customFormat="false" ht="15" hidden="false" customHeight="false" outlineLevel="0" collapsed="false">
      <c r="A66" s="129" t="s">
        <v>149</v>
      </c>
      <c r="B66" s="195" t="n">
        <v>1</v>
      </c>
      <c r="C66" s="195" t="n">
        <v>1</v>
      </c>
      <c r="D66" s="132" t="n">
        <f aca="false">IFERROR(MROUND((100*B66/C66),5)-100,0)</f>
        <v>0</v>
      </c>
    </row>
    <row r="67" customFormat="false" ht="15" hidden="false" customHeight="false" outlineLevel="0" collapsed="false">
      <c r="A67" s="129" t="s">
        <v>150</v>
      </c>
      <c r="B67" s="195" t="n">
        <v>1</v>
      </c>
      <c r="C67" s="195" t="n">
        <v>1</v>
      </c>
      <c r="D67" s="132" t="n">
        <f aca="false">IFERROR(MROUND((100*B67/C67),5)-100,0)</f>
        <v>0</v>
      </c>
    </row>
    <row r="68" customFormat="false" ht="15" hidden="false" customHeight="false" outlineLevel="0" collapsed="false">
      <c r="A68" s="129" t="s">
        <v>151</v>
      </c>
      <c r="B68" s="195" t="n">
        <v>4</v>
      </c>
      <c r="C68" s="195" t="n">
        <v>2</v>
      </c>
      <c r="D68" s="132" t="n">
        <f aca="false">IFERROR(MROUND((100*B68/C68),5)-100,0)</f>
        <v>100</v>
      </c>
    </row>
    <row r="69" customFormat="false" ht="15" hidden="false" customHeight="false" outlineLevel="0" collapsed="false">
      <c r="A69" s="129" t="s">
        <v>152</v>
      </c>
      <c r="B69" s="195" t="n">
        <v>3.5</v>
      </c>
      <c r="C69" s="195" t="n">
        <v>2</v>
      </c>
      <c r="D69" s="132" t="n">
        <f aca="false">IFERROR(MROUND((100*B69/C69),5)-100,0)</f>
        <v>75</v>
      </c>
    </row>
  </sheetData>
  <mergeCells count="12">
    <mergeCell ref="A1:F1"/>
    <mergeCell ref="G1:P1"/>
    <mergeCell ref="A3:F3"/>
    <mergeCell ref="G3:P3"/>
    <mergeCell ref="B6:C6"/>
    <mergeCell ref="H6:L6"/>
    <mergeCell ref="B7:C7"/>
    <mergeCell ref="B8:C8"/>
    <mergeCell ref="B9:C9"/>
    <mergeCell ref="A26:F26"/>
    <mergeCell ref="G26:P26"/>
    <mergeCell ref="A28:D28"/>
  </mergeCells>
  <conditionalFormatting sqref="B7:C9">
    <cfRule type="expression" priority="2" aboveAverage="0" equalAverage="0" bottom="0" percent="0" rank="0" text="" dxfId="19">
      <formula>"sum($B$7:$b$9)&lt;&gt;1"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4" man="true" max="16383" min="0"/>
  </rowBreaks>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F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C18" activeCellId="0" sqref="C18"/>
    </sheetView>
  </sheetViews>
  <sheetFormatPr defaultColWidth="8.859375" defaultRowHeight="15" zeroHeight="false" outlineLevelRow="0" outlineLevelCol="0"/>
  <cols>
    <col collapsed="false" customWidth="true" hidden="false" outlineLevel="0" max="4" min="2" style="36" width="13.86"/>
  </cols>
  <sheetData>
    <row r="1" customFormat="false" ht="21" hidden="false" customHeight="true" outlineLevel="0" collapsed="false">
      <c r="A1" s="176" t="s">
        <v>21</v>
      </c>
      <c r="B1" s="52" t="s">
        <v>369</v>
      </c>
      <c r="C1" s="52" t="s">
        <v>370</v>
      </c>
      <c r="D1" s="52" t="s">
        <v>374</v>
      </c>
    </row>
    <row r="2" customFormat="false" ht="15" hidden="false" customHeight="false" outlineLevel="0" collapsed="false">
      <c r="A2" s="115" t="s">
        <v>113</v>
      </c>
      <c r="B2" s="196" t="n">
        <v>3</v>
      </c>
      <c r="C2" s="196" t="n">
        <v>2</v>
      </c>
      <c r="D2" s="196" t="n">
        <v>1</v>
      </c>
    </row>
    <row r="3" customFormat="false" ht="15" hidden="false" customHeight="false" outlineLevel="0" collapsed="false">
      <c r="A3" s="115" t="s">
        <v>114</v>
      </c>
      <c r="B3" s="196" t="n">
        <v>1</v>
      </c>
      <c r="C3" s="196" t="n">
        <v>1</v>
      </c>
      <c r="D3" s="196" t="n">
        <v>1</v>
      </c>
    </row>
    <row r="4" customFormat="false" ht="15" hidden="false" customHeight="false" outlineLevel="0" collapsed="false">
      <c r="A4" s="115" t="s">
        <v>115</v>
      </c>
      <c r="B4" s="196" t="n">
        <v>4</v>
      </c>
      <c r="C4" s="196" t="n">
        <v>2</v>
      </c>
      <c r="D4" s="196" t="n">
        <v>1</v>
      </c>
    </row>
    <row r="5" customFormat="false" ht="15" hidden="false" customHeight="false" outlineLevel="0" collapsed="false">
      <c r="A5" s="115" t="s">
        <v>116</v>
      </c>
      <c r="B5" s="196" t="n">
        <v>1</v>
      </c>
      <c r="C5" s="196" t="n">
        <v>1</v>
      </c>
      <c r="D5" s="196" t="n">
        <v>1</v>
      </c>
    </row>
    <row r="6" customFormat="false" ht="15" hidden="false" customHeight="false" outlineLevel="0" collapsed="false">
      <c r="A6" s="115" t="s">
        <v>117</v>
      </c>
      <c r="B6" s="196" t="n">
        <v>1.5</v>
      </c>
      <c r="C6" s="196" t="n">
        <v>1</v>
      </c>
      <c r="D6" s="196" t="n">
        <v>1</v>
      </c>
      <c r="F6" s="203"/>
    </row>
    <row r="7" customFormat="false" ht="15" hidden="false" customHeight="false" outlineLevel="0" collapsed="false">
      <c r="A7" s="117" t="s">
        <v>118</v>
      </c>
      <c r="B7" s="196" t="n">
        <v>2</v>
      </c>
      <c r="C7" s="196" t="n">
        <v>1.5</v>
      </c>
      <c r="D7" s="196" t="n">
        <v>1</v>
      </c>
      <c r="F7" s="203"/>
    </row>
    <row r="8" customFormat="false" ht="15" hidden="false" customHeight="false" outlineLevel="0" collapsed="false">
      <c r="A8" s="117" t="s">
        <v>119</v>
      </c>
      <c r="B8" s="196" t="n">
        <v>1</v>
      </c>
      <c r="C8" s="196" t="n">
        <v>1</v>
      </c>
      <c r="D8" s="196" t="n">
        <v>1</v>
      </c>
      <c r="F8" s="203"/>
    </row>
    <row r="9" customFormat="false" ht="15" hidden="false" customHeight="false" outlineLevel="0" collapsed="false">
      <c r="A9" s="117" t="s">
        <v>120</v>
      </c>
      <c r="B9" s="196" t="n">
        <v>1</v>
      </c>
      <c r="C9" s="196" t="n">
        <v>1</v>
      </c>
      <c r="D9" s="196" t="n">
        <v>1</v>
      </c>
      <c r="F9" s="203"/>
    </row>
    <row r="10" customFormat="false" ht="15" hidden="false" customHeight="false" outlineLevel="0" collapsed="false">
      <c r="A10" s="117" t="s">
        <v>121</v>
      </c>
      <c r="B10" s="196" t="n">
        <v>1</v>
      </c>
      <c r="C10" s="196" t="n">
        <v>1</v>
      </c>
      <c r="D10" s="196" t="n">
        <v>1</v>
      </c>
      <c r="F10" s="204"/>
    </row>
    <row r="11" customFormat="false" ht="15" hidden="false" customHeight="false" outlineLevel="0" collapsed="false">
      <c r="A11" s="117" t="s">
        <v>122</v>
      </c>
      <c r="B11" s="196" t="n">
        <v>1</v>
      </c>
      <c r="C11" s="196" t="n">
        <v>1</v>
      </c>
      <c r="D11" s="196" t="n">
        <v>1</v>
      </c>
    </row>
    <row r="12" customFormat="false" ht="15" hidden="false" customHeight="false" outlineLevel="0" collapsed="false">
      <c r="A12" s="117" t="s">
        <v>123</v>
      </c>
      <c r="B12" s="196" t="n">
        <v>1</v>
      </c>
      <c r="C12" s="196" t="n">
        <v>1</v>
      </c>
      <c r="D12" s="196" t="n">
        <v>1</v>
      </c>
    </row>
    <row r="13" customFormat="false" ht="15" hidden="false" customHeight="false" outlineLevel="0" collapsed="false">
      <c r="A13" s="117" t="s">
        <v>124</v>
      </c>
      <c r="B13" s="196" t="n">
        <v>1</v>
      </c>
      <c r="C13" s="196" t="n">
        <v>1</v>
      </c>
      <c r="D13" s="196" t="n">
        <v>1</v>
      </c>
    </row>
    <row r="14" customFormat="false" ht="15" hidden="false" customHeight="false" outlineLevel="0" collapsed="false">
      <c r="A14" s="117" t="s">
        <v>125</v>
      </c>
      <c r="B14" s="196" t="n">
        <v>1</v>
      </c>
      <c r="C14" s="196" t="n">
        <v>1</v>
      </c>
      <c r="D14" s="196" t="n">
        <v>1</v>
      </c>
    </row>
    <row r="15" customFormat="false" ht="15" hidden="false" customHeight="false" outlineLevel="0" collapsed="false">
      <c r="A15" s="117" t="s">
        <v>126</v>
      </c>
      <c r="B15" s="196" t="n">
        <v>1</v>
      </c>
      <c r="C15" s="196" t="n">
        <v>1</v>
      </c>
      <c r="D15" s="196" t="n">
        <v>1</v>
      </c>
    </row>
    <row r="16" customFormat="false" ht="15" hidden="false" customHeight="false" outlineLevel="0" collapsed="false">
      <c r="A16" s="117" t="s">
        <v>127</v>
      </c>
      <c r="B16" s="196" t="n">
        <v>1.5</v>
      </c>
      <c r="C16" s="196" t="n">
        <v>1</v>
      </c>
      <c r="D16" s="196" t="n">
        <v>1</v>
      </c>
    </row>
    <row r="17" customFormat="false" ht="15" hidden="false" customHeight="false" outlineLevel="0" collapsed="false">
      <c r="A17" s="117" t="s">
        <v>128</v>
      </c>
      <c r="B17" s="196" t="n">
        <v>1</v>
      </c>
      <c r="C17" s="196" t="n">
        <v>1</v>
      </c>
      <c r="D17" s="196" t="n">
        <v>1</v>
      </c>
    </row>
    <row r="18" customFormat="false" ht="15" hidden="false" customHeight="false" outlineLevel="0" collapsed="false">
      <c r="A18" s="117" t="s">
        <v>129</v>
      </c>
      <c r="B18" s="196" t="n">
        <v>4</v>
      </c>
      <c r="C18" s="196" t="n">
        <v>2</v>
      </c>
      <c r="D18" s="196" t="n">
        <v>1</v>
      </c>
    </row>
    <row r="19" customFormat="false" ht="15" hidden="false" customHeight="false" outlineLevel="0" collapsed="false">
      <c r="A19" s="117" t="s">
        <v>130</v>
      </c>
      <c r="B19" s="196" t="n">
        <v>1.5</v>
      </c>
      <c r="C19" s="196" t="n">
        <v>1</v>
      </c>
      <c r="D19" s="196" t="n">
        <v>1</v>
      </c>
    </row>
    <row r="20" customFormat="false" ht="15" hidden="false" customHeight="false" outlineLevel="0" collapsed="false">
      <c r="A20" s="117" t="s">
        <v>131</v>
      </c>
      <c r="B20" s="196" t="n">
        <v>2</v>
      </c>
      <c r="C20" s="196" t="n">
        <v>1.5</v>
      </c>
      <c r="D20" s="196" t="n">
        <v>1</v>
      </c>
    </row>
    <row r="21" customFormat="false" ht="15" hidden="false" customHeight="false" outlineLevel="0" collapsed="false">
      <c r="A21" s="115" t="s">
        <v>132</v>
      </c>
      <c r="B21" s="196" t="n">
        <v>1</v>
      </c>
      <c r="C21" s="196" t="n">
        <v>1</v>
      </c>
      <c r="D21" s="196" t="n">
        <v>1</v>
      </c>
    </row>
    <row r="22" customFormat="false" ht="15" hidden="false" customHeight="false" outlineLevel="0" collapsed="false">
      <c r="A22" s="115" t="s">
        <v>133</v>
      </c>
      <c r="B22" s="196" t="n">
        <v>1</v>
      </c>
      <c r="C22" s="196" t="n">
        <v>1</v>
      </c>
      <c r="D22" s="196" t="n">
        <v>1</v>
      </c>
    </row>
    <row r="23" customFormat="false" ht="15" hidden="false" customHeight="false" outlineLevel="0" collapsed="false">
      <c r="A23" s="115" t="s">
        <v>134</v>
      </c>
      <c r="B23" s="196" t="n">
        <v>1</v>
      </c>
      <c r="C23" s="196" t="n">
        <v>1</v>
      </c>
      <c r="D23" s="196" t="n">
        <v>1</v>
      </c>
    </row>
    <row r="24" customFormat="false" ht="15" hidden="false" customHeight="false" outlineLevel="0" collapsed="false">
      <c r="A24" s="115" t="s">
        <v>135</v>
      </c>
      <c r="B24" s="196" t="n">
        <v>1</v>
      </c>
      <c r="C24" s="196" t="n">
        <v>1</v>
      </c>
      <c r="D24" s="196" t="n">
        <v>1</v>
      </c>
    </row>
    <row r="25" customFormat="false" ht="15" hidden="false" customHeight="false" outlineLevel="0" collapsed="false">
      <c r="A25" s="115" t="s">
        <v>136</v>
      </c>
      <c r="B25" s="196" t="n">
        <v>1</v>
      </c>
      <c r="C25" s="196" t="n">
        <v>1</v>
      </c>
      <c r="D25" s="196" t="n">
        <v>1</v>
      </c>
    </row>
    <row r="26" customFormat="false" ht="15" hidden="false" customHeight="false" outlineLevel="0" collapsed="false">
      <c r="A26" s="115" t="s">
        <v>137</v>
      </c>
      <c r="B26" s="196" t="n">
        <v>1</v>
      </c>
      <c r="C26" s="196" t="n">
        <v>1</v>
      </c>
      <c r="D26" s="196" t="n">
        <v>1</v>
      </c>
    </row>
    <row r="27" customFormat="false" ht="15" hidden="false" customHeight="false" outlineLevel="0" collapsed="false">
      <c r="A27" s="115" t="s">
        <v>138</v>
      </c>
      <c r="B27" s="196" t="n">
        <v>1</v>
      </c>
      <c r="C27" s="196" t="n">
        <v>1</v>
      </c>
      <c r="D27" s="196" t="n">
        <v>1</v>
      </c>
    </row>
    <row r="28" customFormat="false" ht="15" hidden="false" customHeight="false" outlineLevel="0" collapsed="false">
      <c r="A28" s="115" t="s">
        <v>139</v>
      </c>
      <c r="B28" s="196" t="n">
        <v>1</v>
      </c>
      <c r="C28" s="196" t="n">
        <v>1</v>
      </c>
      <c r="D28" s="196" t="n">
        <v>1</v>
      </c>
    </row>
    <row r="29" customFormat="false" ht="15" hidden="false" customHeight="false" outlineLevel="0" collapsed="false">
      <c r="A29" s="115" t="s">
        <v>140</v>
      </c>
      <c r="B29" s="196" t="n">
        <v>1</v>
      </c>
      <c r="C29" s="196" t="n">
        <v>1</v>
      </c>
      <c r="D29" s="196" t="n">
        <v>1</v>
      </c>
    </row>
    <row r="30" customFormat="false" ht="15" hidden="false" customHeight="false" outlineLevel="0" collapsed="false">
      <c r="A30" s="115" t="s">
        <v>141</v>
      </c>
      <c r="B30" s="196" t="n">
        <v>1</v>
      </c>
      <c r="C30" s="196" t="n">
        <v>1</v>
      </c>
      <c r="D30" s="196" t="n">
        <v>1</v>
      </c>
    </row>
    <row r="31" customFormat="false" ht="15" hidden="false" customHeight="false" outlineLevel="0" collapsed="false">
      <c r="A31" s="115" t="s">
        <v>142</v>
      </c>
      <c r="B31" s="196" t="n">
        <v>1</v>
      </c>
      <c r="C31" s="196" t="n">
        <v>1</v>
      </c>
      <c r="D31" s="196" t="n">
        <v>1</v>
      </c>
    </row>
    <row r="32" customFormat="false" ht="15" hidden="false" customHeight="false" outlineLevel="0" collapsed="false">
      <c r="A32" s="117" t="s">
        <v>143</v>
      </c>
      <c r="B32" s="196" t="n">
        <v>1</v>
      </c>
      <c r="C32" s="196" t="n">
        <v>1</v>
      </c>
      <c r="D32" s="196" t="n">
        <v>1</v>
      </c>
    </row>
    <row r="33" customFormat="false" ht="15" hidden="false" customHeight="false" outlineLevel="0" collapsed="false">
      <c r="A33" s="117" t="s">
        <v>144</v>
      </c>
      <c r="B33" s="196" t="n">
        <v>1</v>
      </c>
      <c r="C33" s="196" t="n">
        <v>1</v>
      </c>
      <c r="D33" s="196" t="n">
        <v>1</v>
      </c>
    </row>
    <row r="34" customFormat="false" ht="15" hidden="false" customHeight="false" outlineLevel="0" collapsed="false">
      <c r="A34" s="117" t="s">
        <v>145</v>
      </c>
      <c r="B34" s="196" t="n">
        <v>1</v>
      </c>
      <c r="C34" s="196" t="n">
        <v>1</v>
      </c>
      <c r="D34" s="196" t="n">
        <v>1</v>
      </c>
    </row>
    <row r="35" customFormat="false" ht="15" hidden="false" customHeight="false" outlineLevel="0" collapsed="false">
      <c r="A35" s="117" t="s">
        <v>146</v>
      </c>
      <c r="B35" s="196" t="n">
        <v>1.5</v>
      </c>
      <c r="C35" s="196" t="n">
        <v>1</v>
      </c>
      <c r="D35" s="196" t="n">
        <v>1</v>
      </c>
    </row>
    <row r="36" customFormat="false" ht="15" hidden="false" customHeight="false" outlineLevel="0" collapsed="false">
      <c r="A36" s="117" t="s">
        <v>147</v>
      </c>
      <c r="B36" s="196" t="n">
        <v>2</v>
      </c>
      <c r="C36" s="196" t="n">
        <v>1</v>
      </c>
      <c r="D36" s="196" t="n">
        <v>1</v>
      </c>
    </row>
    <row r="37" customFormat="false" ht="15" hidden="false" customHeight="false" outlineLevel="0" collapsed="false">
      <c r="A37" s="117" t="s">
        <v>148</v>
      </c>
      <c r="B37" s="196" t="n">
        <v>1</v>
      </c>
      <c r="C37" s="196" t="n">
        <v>1</v>
      </c>
      <c r="D37" s="196" t="n">
        <v>1</v>
      </c>
    </row>
    <row r="38" customFormat="false" ht="15" hidden="false" customHeight="false" outlineLevel="0" collapsed="false">
      <c r="A38" s="115" t="s">
        <v>149</v>
      </c>
      <c r="B38" s="196" t="n">
        <v>1</v>
      </c>
      <c r="C38" s="196" t="n">
        <v>1</v>
      </c>
      <c r="D38" s="196" t="n">
        <v>1</v>
      </c>
    </row>
    <row r="39" customFormat="false" ht="15" hidden="false" customHeight="false" outlineLevel="0" collapsed="false">
      <c r="A39" s="115" t="s">
        <v>150</v>
      </c>
      <c r="B39" s="196" t="n">
        <v>1</v>
      </c>
      <c r="C39" s="196" t="n">
        <v>1</v>
      </c>
      <c r="D39" s="196" t="n">
        <v>1</v>
      </c>
    </row>
    <row r="40" customFormat="false" ht="15" hidden="false" customHeight="false" outlineLevel="0" collapsed="false">
      <c r="A40" s="115" t="s">
        <v>151</v>
      </c>
      <c r="B40" s="196" t="n">
        <v>4</v>
      </c>
      <c r="C40" s="196" t="n">
        <v>2</v>
      </c>
      <c r="D40" s="196" t="n">
        <v>1</v>
      </c>
    </row>
    <row r="41" customFormat="false" ht="15" hidden="false" customHeight="false" outlineLevel="0" collapsed="false">
      <c r="A41" s="115" t="s">
        <v>152</v>
      </c>
      <c r="B41" s="196" t="n">
        <v>3.5</v>
      </c>
      <c r="C41" s="196" t="n">
        <v>2</v>
      </c>
      <c r="D41" s="196" t="n">
        <v>1</v>
      </c>
    </row>
  </sheetData>
  <conditionalFormatting sqref="B2:D41">
    <cfRule type="cellIs" priority="2" operator="greaterThanOrEqual" aboveAverage="0" equalAverage="0" bottom="0" percent="0" rank="0" text="" dxfId="2">
      <formula>3</formula>
    </cfRule>
    <cfRule type="cellIs" priority="3" operator="greaterThanOrEqual" aboveAverage="0" equalAverage="0" bottom="0" percent="0" rank="0" text="" dxfId="3">
      <formula>2</formula>
    </cfRule>
    <cfRule type="cellIs" priority="4" operator="greaterThanOrEqual" aboveAverage="0" equalAverage="0" bottom="0" percent="0" rank="0" text="" dxfId="4">
      <formula>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P7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F15" activeCellId="0" sqref="F15"/>
    </sheetView>
  </sheetViews>
  <sheetFormatPr defaultColWidth="8.859375" defaultRowHeight="15" zeroHeight="false" outlineLevelRow="0" outlineLevelCol="0"/>
  <cols>
    <col collapsed="false" customWidth="true" hidden="false" outlineLevel="0" max="1" min="1" style="0" width="15.14"/>
    <col collapsed="false" customWidth="true" hidden="false" outlineLevel="0" max="2" min="2" style="0" width="6.14"/>
    <col collapsed="false" customWidth="true" hidden="false" outlineLevel="0" max="3" min="3" style="0" width="8.42"/>
    <col collapsed="false" customWidth="true" hidden="false" outlineLevel="0" max="4" min="4" style="0" width="11.85"/>
    <col collapsed="false" customWidth="true" hidden="false" outlineLevel="0" max="5" min="5" style="0" width="28.86"/>
    <col collapsed="false" customWidth="true" hidden="false" outlineLevel="0" max="6" min="6" style="0" width="21.29"/>
    <col collapsed="false" customWidth="true" hidden="false" outlineLevel="0" max="7" min="7" style="0" width="17.57"/>
  </cols>
  <sheetData>
    <row r="1" s="25" customFormat="true" ht="34.5" hidden="false" customHeight="true" outlineLevel="0" collapsed="false">
      <c r="A1" s="79" t="s">
        <v>375</v>
      </c>
      <c r="B1" s="79"/>
      <c r="C1" s="79"/>
      <c r="D1" s="79"/>
      <c r="E1" s="79"/>
      <c r="F1" s="79"/>
      <c r="G1" s="79" t="s">
        <v>375</v>
      </c>
      <c r="H1" s="79"/>
      <c r="I1" s="79"/>
      <c r="J1" s="79"/>
      <c r="K1" s="79"/>
      <c r="L1" s="79"/>
      <c r="M1" s="79"/>
      <c r="N1" s="79"/>
      <c r="O1" s="79"/>
      <c r="P1" s="79"/>
    </row>
    <row r="2" customFormat="false" ht="9" hidden="false" customHeight="true" outlineLevel="0" collapsed="false"/>
    <row r="3" customFormat="false" ht="21" hidden="false" customHeight="true" outlineLevel="0" collapsed="false">
      <c r="A3" s="82" t="s">
        <v>376</v>
      </c>
      <c r="B3" s="82"/>
      <c r="C3" s="82"/>
      <c r="D3" s="82"/>
      <c r="E3" s="82"/>
      <c r="F3" s="82"/>
      <c r="G3" s="82" t="s">
        <v>376</v>
      </c>
      <c r="H3" s="82"/>
      <c r="I3" s="82"/>
      <c r="J3" s="82"/>
      <c r="K3" s="82"/>
      <c r="L3" s="82"/>
    </row>
    <row r="4" customFormat="false" ht="6.75" hidden="false" customHeight="true" outlineLevel="0" collapsed="false"/>
    <row r="5" s="84" customFormat="true" ht="19.5" hidden="false" customHeight="true" outlineLevel="0" collapsed="false">
      <c r="A5" s="184" t="s">
        <v>94</v>
      </c>
      <c r="B5" s="185" t="s">
        <v>155</v>
      </c>
      <c r="C5" s="185"/>
      <c r="D5" s="185" t="s">
        <v>96</v>
      </c>
      <c r="I5" s="187" t="s">
        <v>368</v>
      </c>
      <c r="J5" s="187"/>
      <c r="K5" s="187"/>
      <c r="L5" s="187"/>
      <c r="M5" s="187"/>
    </row>
    <row r="6" s="84" customFormat="true" ht="18" hidden="false" customHeight="true" outlineLevel="0" collapsed="false">
      <c r="A6" s="189" t="s">
        <v>377</v>
      </c>
      <c r="B6" s="205" t="n">
        <v>2</v>
      </c>
      <c r="C6" s="205"/>
      <c r="D6" s="91" t="n">
        <v>3</v>
      </c>
    </row>
    <row r="7" s="25" customFormat="true" ht="18" hidden="false" customHeight="true" outlineLevel="0" collapsed="false">
      <c r="A7" s="189" t="s">
        <v>378</v>
      </c>
      <c r="B7" s="205" t="n">
        <v>5</v>
      </c>
      <c r="C7" s="205"/>
      <c r="D7" s="91" t="n">
        <v>3</v>
      </c>
    </row>
    <row r="8" s="25" customFormat="true" ht="18" hidden="false" customHeight="true" outlineLevel="0" collapsed="false">
      <c r="A8" s="189" t="s">
        <v>379</v>
      </c>
      <c r="B8" s="205" t="n">
        <v>2</v>
      </c>
      <c r="C8" s="205"/>
      <c r="D8" s="91" t="n">
        <v>3</v>
      </c>
    </row>
    <row r="9" s="25" customFormat="true" ht="18" hidden="false" customHeight="true" outlineLevel="0" collapsed="false">
      <c r="A9" s="189" t="s">
        <v>380</v>
      </c>
      <c r="B9" s="206" t="n">
        <v>5</v>
      </c>
      <c r="C9" s="206"/>
      <c r="D9" s="94" t="n">
        <v>3</v>
      </c>
    </row>
    <row r="10" customFormat="false" ht="15" hidden="false" customHeight="false" outlineLevel="0" collapsed="false">
      <c r="A10" s="207"/>
    </row>
    <row r="11" customFormat="false" ht="15.75" hidden="false" customHeight="true" outlineLevel="0" collapsed="false">
      <c r="A11" s="125" t="s">
        <v>101</v>
      </c>
      <c r="B11" s="98" t="n">
        <f aca="false">AVERAGE(B6:B9)</f>
        <v>3.5</v>
      </c>
      <c r="E11" s="39"/>
      <c r="F11" s="39"/>
    </row>
    <row r="12" s="95" customFormat="true" ht="12.75" hidden="false" customHeight="true" outlineLevel="0" collapsed="false">
      <c r="A12" s="125" t="s">
        <v>102</v>
      </c>
      <c r="B12" s="98" t="n">
        <f aca="false">STDEVP(B6:B9)</f>
        <v>1.5</v>
      </c>
    </row>
    <row r="13" s="95" customFormat="true" ht="12.75" hidden="false" customHeight="true" outlineLevel="0" collapsed="false">
      <c r="A13" s="125" t="s">
        <v>103</v>
      </c>
      <c r="B13" s="98" t="n">
        <f aca="false">AVERAGE(D6:D9)/B11</f>
        <v>0.857142857142857</v>
      </c>
    </row>
    <row r="14" s="95" customFormat="true" ht="12.75" hidden="false" customHeight="true" outlineLevel="0" collapsed="false"/>
    <row r="15" s="95" customFormat="true" ht="12.75" hidden="false" customHeight="true" outlineLevel="0" collapsed="false"/>
    <row r="16" s="95" customFormat="true" ht="12.75" hidden="false" customHeight="true" outlineLevel="0" collapsed="false"/>
    <row r="17" s="95" customFormat="true" ht="12.75" hidden="false" customHeight="true" outlineLevel="0" collapsed="false"/>
    <row r="18" s="95" customFormat="true" ht="12.75" hidden="false" customHeight="true" outlineLevel="0" collapsed="false"/>
    <row r="19" s="95" customFormat="true" ht="12.75" hidden="false" customHeight="true" outlineLevel="0" collapsed="false"/>
    <row r="20" s="95" customFormat="true" ht="12.75" hidden="false" customHeight="true" outlineLevel="0" collapsed="false"/>
    <row r="21" s="95" customFormat="true" ht="12.75" hidden="false" customHeight="true" outlineLevel="0" collapsed="false"/>
    <row r="22" s="95" customFormat="true" ht="12.75" hidden="false" customHeight="true" outlineLevel="0" collapsed="false"/>
    <row r="23" s="95" customFormat="true" ht="21.75" hidden="false" customHeight="true" outlineLevel="0" collapsed="false">
      <c r="E23" s="126"/>
      <c r="F23" s="127"/>
    </row>
    <row r="24" s="95" customFormat="true" ht="21.75" hidden="false" customHeight="true" outlineLevel="0" collapsed="false">
      <c r="E24" s="126"/>
      <c r="F24" s="127"/>
    </row>
    <row r="25" s="95" customFormat="true" ht="21.75" hidden="false" customHeight="true" outlineLevel="0" collapsed="false">
      <c r="E25" s="126"/>
      <c r="F25" s="127"/>
    </row>
    <row r="26" s="95" customFormat="true" ht="192.75" hidden="false" customHeight="true" outlineLevel="0" collapsed="false">
      <c r="E26" s="126"/>
      <c r="F26" s="127"/>
    </row>
    <row r="27" s="95" customFormat="true" ht="21.75" hidden="false" customHeight="true" outlineLevel="0" collapsed="false">
      <c r="E27" s="126"/>
      <c r="F27" s="127"/>
    </row>
    <row r="28" s="84" customFormat="true" ht="24" hidden="false" customHeight="true" outlineLevel="0" collapsed="false">
      <c r="A28" s="99" t="s">
        <v>104</v>
      </c>
      <c r="B28" s="99"/>
      <c r="C28" s="99"/>
      <c r="D28" s="99"/>
      <c r="E28" s="99"/>
      <c r="F28" s="99"/>
      <c r="G28" s="99" t="s">
        <v>104</v>
      </c>
      <c r="H28" s="99"/>
      <c r="I28" s="99"/>
      <c r="J28" s="99"/>
      <c r="K28" s="99"/>
      <c r="L28" s="99"/>
      <c r="M28" s="99"/>
      <c r="N28" s="99"/>
      <c r="O28" s="99"/>
      <c r="P28" s="99"/>
    </row>
    <row r="29" customFormat="false" ht="9" hidden="false" customHeight="true" outlineLevel="0" collapsed="false"/>
    <row r="30" s="84" customFormat="true" ht="33" hidden="false" customHeight="true" outlineLevel="0" collapsed="false">
      <c r="A30" s="194" t="s">
        <v>169</v>
      </c>
      <c r="B30" s="194"/>
      <c r="C30" s="194"/>
      <c r="D30" s="194"/>
    </row>
    <row r="31" s="84" customFormat="true" ht="38.25" hidden="false" customHeight="true" outlineLevel="0" collapsed="false">
      <c r="A31" s="104" t="s">
        <v>106</v>
      </c>
      <c r="B31" s="105" t="s">
        <v>107</v>
      </c>
      <c r="C31" s="105" t="s">
        <v>108</v>
      </c>
      <c r="D31" s="105" t="s">
        <v>109</v>
      </c>
    </row>
    <row r="32" customFormat="false" ht="15" hidden="false" customHeight="false" outlineLevel="0" collapsed="false">
      <c r="A32" s="129" t="s">
        <v>113</v>
      </c>
      <c r="B32" s="208" t="n">
        <f aca="false" t="array" ref="B32:B71">MMULT(DF7map!B2:E41,DF7!B6:B9)</f>
        <v>35</v>
      </c>
      <c r="C32" s="208" t="n">
        <f aca="false" t="array" ref="C32:C71">MMULT(DF7map!B2:E41,DF7!D6:D9)</f>
        <v>25.5</v>
      </c>
      <c r="D32" s="132" t="n">
        <f aca="false">IFERROR(MROUND(($B$13*100*B32/C32),5)-100,0)</f>
        <v>20</v>
      </c>
    </row>
    <row r="33" customFormat="false" ht="15" hidden="false" customHeight="false" outlineLevel="0" collapsed="false">
      <c r="A33" s="129" t="s">
        <v>114</v>
      </c>
      <c r="B33" s="208" t="n">
        <v>27</v>
      </c>
      <c r="C33" s="208" t="n">
        <v>22.5</v>
      </c>
      <c r="D33" s="132" t="n">
        <f aca="false">IFERROR(MROUND(($B$13*100*B33/C33),5)-100,0)</f>
        <v>5</v>
      </c>
      <c r="I33" s="36"/>
    </row>
    <row r="34" customFormat="false" ht="15" hidden="false" customHeight="false" outlineLevel="0" collapsed="false">
      <c r="A34" s="129" t="s">
        <v>115</v>
      </c>
      <c r="B34" s="208" t="n">
        <v>34</v>
      </c>
      <c r="C34" s="208" t="n">
        <v>24</v>
      </c>
      <c r="D34" s="132" t="n">
        <f aca="false">IFERROR(MROUND(($B$13*100*B34/C34),5)-100,0)</f>
        <v>20</v>
      </c>
    </row>
    <row r="35" customFormat="false" ht="15" hidden="false" customHeight="false" outlineLevel="0" collapsed="false">
      <c r="A35" s="129" t="s">
        <v>116</v>
      </c>
      <c r="B35" s="208" t="n">
        <v>19</v>
      </c>
      <c r="C35" s="208" t="n">
        <v>15</v>
      </c>
      <c r="D35" s="132" t="n">
        <f aca="false">IFERROR(MROUND(($B$13*100*B35/C35),5)-100,0)</f>
        <v>10</v>
      </c>
    </row>
    <row r="36" customFormat="false" ht="15" hidden="false" customHeight="false" outlineLevel="0" collapsed="false">
      <c r="A36" s="129" t="s">
        <v>117</v>
      </c>
      <c r="B36" s="208" t="n">
        <v>19</v>
      </c>
      <c r="C36" s="208" t="n">
        <v>15</v>
      </c>
      <c r="D36" s="132" t="n">
        <f aca="false">IFERROR(MROUND(($B$13*100*B36/C36),5)-100,0)</f>
        <v>10</v>
      </c>
    </row>
    <row r="37" customFormat="false" ht="15" hidden="false" customHeight="false" outlineLevel="0" collapsed="false">
      <c r="A37" s="133" t="s">
        <v>118</v>
      </c>
      <c r="B37" s="208" t="n">
        <v>25</v>
      </c>
      <c r="C37" s="208" t="n">
        <v>19.5</v>
      </c>
      <c r="D37" s="132" t="n">
        <f aca="false">IFERROR(MROUND(($B$13*100*B37/C37),5)-100,0)</f>
        <v>10</v>
      </c>
    </row>
    <row r="38" customFormat="false" ht="15" hidden="false" customHeight="false" outlineLevel="0" collapsed="false">
      <c r="A38" s="133" t="s">
        <v>119</v>
      </c>
      <c r="B38" s="208" t="n">
        <v>28</v>
      </c>
      <c r="C38" s="208" t="n">
        <v>24</v>
      </c>
      <c r="D38" s="132" t="n">
        <f aca="false">IFERROR(MROUND(($B$13*100*B38/C38),5)-100,0)</f>
        <v>0</v>
      </c>
    </row>
    <row r="39" customFormat="false" ht="15" hidden="false" customHeight="false" outlineLevel="0" collapsed="false">
      <c r="A39" s="133" t="s">
        <v>120</v>
      </c>
      <c r="B39" s="208" t="n">
        <v>21</v>
      </c>
      <c r="C39" s="208" t="n">
        <v>18</v>
      </c>
      <c r="D39" s="132" t="n">
        <f aca="false">IFERROR(MROUND(($B$13*100*B39/C39),5)-100,0)</f>
        <v>0</v>
      </c>
    </row>
    <row r="40" customFormat="false" ht="15" hidden="false" customHeight="false" outlineLevel="0" collapsed="false">
      <c r="A40" s="133" t="s">
        <v>121</v>
      </c>
      <c r="B40" s="208" t="n">
        <v>33</v>
      </c>
      <c r="C40" s="208" t="n">
        <v>27</v>
      </c>
      <c r="D40" s="132" t="n">
        <f aca="false">IFERROR(MROUND(($B$13*100*B40/C40),5)-100,0)</f>
        <v>5</v>
      </c>
    </row>
    <row r="41" customFormat="false" ht="15" hidden="false" customHeight="false" outlineLevel="0" collapsed="false">
      <c r="A41" s="133" t="s">
        <v>122</v>
      </c>
      <c r="B41" s="208" t="n">
        <v>27</v>
      </c>
      <c r="C41" s="208" t="n">
        <v>22.5</v>
      </c>
      <c r="D41" s="132" t="n">
        <f aca="false">IFERROR(MROUND(($B$13*100*B41/C41),5)-100,0)</f>
        <v>5</v>
      </c>
    </row>
    <row r="42" customFormat="false" ht="15" hidden="false" customHeight="false" outlineLevel="0" collapsed="false">
      <c r="A42" s="133" t="s">
        <v>123</v>
      </c>
      <c r="B42" s="208" t="n">
        <v>19</v>
      </c>
      <c r="C42" s="208" t="n">
        <v>15</v>
      </c>
      <c r="D42" s="132" t="n">
        <f aca="false">IFERROR(MROUND(($B$13*100*B42/C42),5)-100,0)</f>
        <v>10</v>
      </c>
    </row>
    <row r="43" customFormat="false" ht="15" hidden="false" customHeight="false" outlineLevel="0" collapsed="false">
      <c r="A43" s="133" t="s">
        <v>124</v>
      </c>
      <c r="B43" s="208" t="n">
        <v>16.5</v>
      </c>
      <c r="C43" s="208" t="n">
        <v>13.5</v>
      </c>
      <c r="D43" s="132" t="n">
        <f aca="false">IFERROR(MROUND(($B$13*100*B43/C43),5)-100,0)</f>
        <v>5</v>
      </c>
    </row>
    <row r="44" customFormat="false" ht="15" hidden="false" customHeight="false" outlineLevel="0" collapsed="false">
      <c r="A44" s="133" t="s">
        <v>125</v>
      </c>
      <c r="B44" s="208" t="n">
        <v>23.5</v>
      </c>
      <c r="C44" s="208" t="n">
        <v>19.5</v>
      </c>
      <c r="D44" s="132" t="n">
        <f aca="false">IFERROR(MROUND(($B$13*100*B44/C44),5)-100,0)</f>
        <v>5</v>
      </c>
    </row>
    <row r="45" customFormat="false" ht="15" hidden="false" customHeight="false" outlineLevel="0" collapsed="false">
      <c r="A45" s="133" t="s">
        <v>126</v>
      </c>
      <c r="B45" s="208" t="n">
        <v>25</v>
      </c>
      <c r="C45" s="208" t="n">
        <v>19.5</v>
      </c>
      <c r="D45" s="132" t="n">
        <f aca="false">IFERROR(MROUND(($B$13*100*B45/C45),5)-100,0)</f>
        <v>10</v>
      </c>
    </row>
    <row r="46" customFormat="false" ht="15" hidden="false" customHeight="false" outlineLevel="0" collapsed="false">
      <c r="A46" s="133" t="s">
        <v>127</v>
      </c>
      <c r="B46" s="208" t="n">
        <v>27.5</v>
      </c>
      <c r="C46" s="208" t="n">
        <v>21</v>
      </c>
      <c r="D46" s="132" t="n">
        <f aca="false">IFERROR(MROUND(($B$13*100*B46/C46),5)-100,0)</f>
        <v>10</v>
      </c>
    </row>
    <row r="47" customFormat="false" ht="15" hidden="false" customHeight="false" outlineLevel="0" collapsed="false">
      <c r="A47" s="133" t="s">
        <v>128</v>
      </c>
      <c r="B47" s="208" t="n">
        <v>22.5</v>
      </c>
      <c r="C47" s="208" t="n">
        <v>18</v>
      </c>
      <c r="D47" s="132" t="n">
        <f aca="false">IFERROR(MROUND(($B$13*100*B47/C47),5)-100,0)</f>
        <v>5</v>
      </c>
    </row>
    <row r="48" customFormat="false" ht="15" hidden="false" customHeight="false" outlineLevel="0" collapsed="false">
      <c r="A48" s="133" t="s">
        <v>129</v>
      </c>
      <c r="B48" s="208" t="n">
        <v>31.5</v>
      </c>
      <c r="C48" s="208" t="n">
        <v>22.5</v>
      </c>
      <c r="D48" s="132" t="n">
        <f aca="false">IFERROR(MROUND(($B$13*100*B48/C48),5)-100,0)</f>
        <v>20</v>
      </c>
    </row>
    <row r="49" customFormat="false" ht="15" hidden="false" customHeight="false" outlineLevel="0" collapsed="false">
      <c r="A49" s="133" t="s">
        <v>130</v>
      </c>
      <c r="B49" s="208" t="n">
        <v>30</v>
      </c>
      <c r="C49" s="208" t="n">
        <v>22.5</v>
      </c>
      <c r="D49" s="132" t="n">
        <f aca="false">IFERROR(MROUND(($B$13*100*B49/C49),5)-100,0)</f>
        <v>15</v>
      </c>
    </row>
    <row r="50" customFormat="false" ht="15" hidden="false" customHeight="false" outlineLevel="0" collapsed="false">
      <c r="A50" s="133" t="s">
        <v>131</v>
      </c>
      <c r="B50" s="208" t="n">
        <v>25</v>
      </c>
      <c r="C50" s="208" t="n">
        <v>19.5</v>
      </c>
      <c r="D50" s="132" t="n">
        <f aca="false">IFERROR(MROUND(($B$13*100*B50/C50),5)-100,0)</f>
        <v>10</v>
      </c>
    </row>
    <row r="51" customFormat="false" ht="15" hidden="false" customHeight="false" outlineLevel="0" collapsed="false">
      <c r="A51" s="129" t="s">
        <v>170</v>
      </c>
      <c r="B51" s="208" t="n">
        <v>23.5</v>
      </c>
      <c r="C51" s="208" t="n">
        <v>19.5</v>
      </c>
      <c r="D51" s="132" t="n">
        <f aca="false">IFERROR(MROUND(($B$13*100*B51/C51),5)-100,0)</f>
        <v>5</v>
      </c>
    </row>
    <row r="52" customFormat="false" ht="15" hidden="false" customHeight="false" outlineLevel="0" collapsed="false">
      <c r="A52" s="129" t="s">
        <v>133</v>
      </c>
      <c r="B52" s="208" t="n">
        <v>28</v>
      </c>
      <c r="C52" s="208" t="n">
        <v>24</v>
      </c>
      <c r="D52" s="132" t="n">
        <f aca="false">IFERROR(MROUND(($B$13*100*B52/C52),5)-100,0)</f>
        <v>0</v>
      </c>
    </row>
    <row r="53" customFormat="false" ht="15" hidden="false" customHeight="false" outlineLevel="0" collapsed="false">
      <c r="A53" s="129" t="s">
        <v>134</v>
      </c>
      <c r="B53" s="208" t="n">
        <v>28</v>
      </c>
      <c r="C53" s="208" t="n">
        <v>24</v>
      </c>
      <c r="D53" s="132" t="n">
        <f aca="false">IFERROR(MROUND(($B$13*100*B53/C53),5)-100,0)</f>
        <v>0</v>
      </c>
    </row>
    <row r="54" customFormat="false" ht="15" hidden="false" customHeight="false" outlineLevel="0" collapsed="false">
      <c r="A54" s="129" t="s">
        <v>135</v>
      </c>
      <c r="B54" s="208" t="n">
        <v>27.5</v>
      </c>
      <c r="C54" s="208" t="n">
        <v>21</v>
      </c>
      <c r="D54" s="132" t="n">
        <f aca="false">IFERROR(MROUND(($B$13*100*B54/C54),5)-100,0)</f>
        <v>10</v>
      </c>
    </row>
    <row r="55" customFormat="false" ht="15" hidden="false" customHeight="false" outlineLevel="0" collapsed="false">
      <c r="A55" s="129" t="s">
        <v>136</v>
      </c>
      <c r="B55" s="208" t="n">
        <v>19</v>
      </c>
      <c r="C55" s="208" t="n">
        <v>15</v>
      </c>
      <c r="D55" s="132" t="n">
        <f aca="false">IFERROR(MROUND(($B$13*100*B55/C55),5)-100,0)</f>
        <v>10</v>
      </c>
    </row>
    <row r="56" customFormat="false" ht="15" hidden="false" customHeight="false" outlineLevel="0" collapsed="false">
      <c r="A56" s="129" t="s">
        <v>137</v>
      </c>
      <c r="B56" s="208" t="n">
        <v>26.5</v>
      </c>
      <c r="C56" s="208" t="n">
        <v>19.5</v>
      </c>
      <c r="D56" s="132" t="n">
        <f aca="false">IFERROR(MROUND(($B$13*100*B56/C56),5)-100,0)</f>
        <v>15</v>
      </c>
    </row>
    <row r="57" customFormat="false" ht="15" hidden="false" customHeight="false" outlineLevel="0" collapsed="false">
      <c r="A57" s="129" t="s">
        <v>138</v>
      </c>
      <c r="B57" s="208" t="n">
        <v>21</v>
      </c>
      <c r="C57" s="208" t="n">
        <v>18</v>
      </c>
      <c r="D57" s="132" t="n">
        <f aca="false">IFERROR(MROUND(($B$13*100*B57/C57),5)-100,0)</f>
        <v>0</v>
      </c>
    </row>
    <row r="58" customFormat="false" ht="15" hidden="false" customHeight="false" outlineLevel="0" collapsed="false">
      <c r="A58" s="129" t="s">
        <v>139</v>
      </c>
      <c r="B58" s="208" t="n">
        <v>19</v>
      </c>
      <c r="C58" s="208" t="n">
        <v>15</v>
      </c>
      <c r="D58" s="132" t="n">
        <f aca="false">IFERROR(MROUND(($B$13*100*B58/C58),5)-100,0)</f>
        <v>10</v>
      </c>
    </row>
    <row r="59" customFormat="false" ht="15" hidden="false" customHeight="false" outlineLevel="0" collapsed="false">
      <c r="A59" s="129" t="s">
        <v>140</v>
      </c>
      <c r="B59" s="208" t="n">
        <v>19</v>
      </c>
      <c r="C59" s="208" t="n">
        <v>15</v>
      </c>
      <c r="D59" s="132" t="n">
        <f aca="false">IFERROR(MROUND(($B$13*100*B59/C59),5)-100,0)</f>
        <v>10</v>
      </c>
    </row>
    <row r="60" customFormat="false" ht="15" hidden="false" customHeight="false" outlineLevel="0" collapsed="false">
      <c r="A60" s="129" t="s">
        <v>141</v>
      </c>
      <c r="B60" s="208" t="n">
        <v>21.5</v>
      </c>
      <c r="C60" s="208" t="n">
        <v>16.5</v>
      </c>
      <c r="D60" s="132" t="n">
        <f aca="false">IFERROR(MROUND(($B$13*100*B60/C60),5)-100,0)</f>
        <v>10</v>
      </c>
    </row>
    <row r="61" customFormat="false" ht="15" hidden="false" customHeight="false" outlineLevel="0" collapsed="false">
      <c r="A61" s="129" t="s">
        <v>142</v>
      </c>
      <c r="B61" s="208" t="n">
        <v>21</v>
      </c>
      <c r="C61" s="208" t="n">
        <v>18</v>
      </c>
      <c r="D61" s="132" t="n">
        <f aca="false">IFERROR(MROUND(($B$13*100*B61/C61),5)-100,0)</f>
        <v>0</v>
      </c>
    </row>
    <row r="62" customFormat="false" ht="15" hidden="false" customHeight="false" outlineLevel="0" collapsed="false">
      <c r="A62" s="133" t="s">
        <v>143</v>
      </c>
      <c r="B62" s="208" t="n">
        <v>36.5</v>
      </c>
      <c r="C62" s="208" t="n">
        <v>25.5</v>
      </c>
      <c r="D62" s="132" t="n">
        <f aca="false">IFERROR(MROUND(($B$13*100*B62/C62),5)-100,0)</f>
        <v>25</v>
      </c>
    </row>
    <row r="63" customFormat="false" ht="15" hidden="false" customHeight="false" outlineLevel="0" collapsed="false">
      <c r="A63" s="133" t="s">
        <v>144</v>
      </c>
      <c r="B63" s="208" t="n">
        <v>35</v>
      </c>
      <c r="C63" s="208" t="n">
        <v>25.5</v>
      </c>
      <c r="D63" s="132" t="n">
        <f aca="false">IFERROR(MROUND(($B$13*100*B63/C63),5)-100,0)</f>
        <v>20</v>
      </c>
    </row>
    <row r="64" customFormat="false" ht="15" hidden="false" customHeight="false" outlineLevel="0" collapsed="false">
      <c r="A64" s="133" t="s">
        <v>145</v>
      </c>
      <c r="B64" s="208" t="n">
        <v>37.5</v>
      </c>
      <c r="C64" s="208" t="n">
        <v>27</v>
      </c>
      <c r="D64" s="132" t="n">
        <f aca="false">IFERROR(MROUND(($B$13*100*B64/C64),5)-100,0)</f>
        <v>20</v>
      </c>
    </row>
    <row r="65" customFormat="false" ht="15" hidden="false" customHeight="false" outlineLevel="0" collapsed="false">
      <c r="A65" s="133" t="s">
        <v>146</v>
      </c>
      <c r="B65" s="208" t="n">
        <v>37.5</v>
      </c>
      <c r="C65" s="208" t="n">
        <v>27</v>
      </c>
      <c r="D65" s="132" t="n">
        <f aca="false">IFERROR(MROUND(($B$13*100*B65/C65),5)-100,0)</f>
        <v>20</v>
      </c>
    </row>
    <row r="66" customFormat="false" ht="15" hidden="false" customHeight="false" outlineLevel="0" collapsed="false">
      <c r="A66" s="133" t="s">
        <v>147</v>
      </c>
      <c r="B66" s="208" t="n">
        <v>36</v>
      </c>
      <c r="C66" s="208" t="n">
        <v>27</v>
      </c>
      <c r="D66" s="132" t="n">
        <f aca="false">IFERROR(MROUND(($B$13*100*B66/C66),5)-100,0)</f>
        <v>15</v>
      </c>
    </row>
    <row r="67" customFormat="false" ht="15" hidden="false" customHeight="false" outlineLevel="0" collapsed="false">
      <c r="A67" s="133" t="s">
        <v>148</v>
      </c>
      <c r="B67" s="208" t="n">
        <v>21.5</v>
      </c>
      <c r="C67" s="208" t="n">
        <v>16.5</v>
      </c>
      <c r="D67" s="132" t="n">
        <f aca="false">IFERROR(MROUND(($B$13*100*B67/C67),5)-100,0)</f>
        <v>10</v>
      </c>
    </row>
    <row r="68" customFormat="false" ht="15" hidden="false" customHeight="false" outlineLevel="0" collapsed="false">
      <c r="A68" s="129" t="s">
        <v>149</v>
      </c>
      <c r="B68" s="208" t="n">
        <v>19</v>
      </c>
      <c r="C68" s="208" t="n">
        <v>15</v>
      </c>
      <c r="D68" s="132" t="n">
        <f aca="false">IFERROR(MROUND(($B$13*100*B68/C68),5)-100,0)</f>
        <v>10</v>
      </c>
    </row>
    <row r="69" customFormat="false" ht="15" hidden="false" customHeight="false" outlineLevel="0" collapsed="false">
      <c r="A69" s="129" t="s">
        <v>150</v>
      </c>
      <c r="B69" s="208" t="n">
        <v>19</v>
      </c>
      <c r="C69" s="208" t="n">
        <v>15</v>
      </c>
      <c r="D69" s="132" t="n">
        <f aca="false">IFERROR(MROUND(($B$13*100*B69/C69),5)-100,0)</f>
        <v>10</v>
      </c>
    </row>
    <row r="70" customFormat="false" ht="15" hidden="false" customHeight="false" outlineLevel="0" collapsed="false">
      <c r="A70" s="129" t="s">
        <v>151</v>
      </c>
      <c r="B70" s="208" t="n">
        <v>16.5</v>
      </c>
      <c r="C70" s="208" t="n">
        <v>13.5</v>
      </c>
      <c r="D70" s="132" t="n">
        <f aca="false">IFERROR(MROUND(($B$13*100*B70/C70),5)-100,0)</f>
        <v>5</v>
      </c>
    </row>
    <row r="71" customFormat="false" ht="15" hidden="false" customHeight="false" outlineLevel="0" collapsed="false">
      <c r="A71" s="129" t="s">
        <v>152</v>
      </c>
      <c r="B71" s="208" t="n">
        <v>19</v>
      </c>
      <c r="C71" s="208" t="n">
        <v>15</v>
      </c>
      <c r="D71" s="132" t="n">
        <f aca="false">IFERROR(MROUND(($B$13*100*B71/C71),5)-100,0)</f>
        <v>10</v>
      </c>
    </row>
  </sheetData>
  <mergeCells count="13">
    <mergeCell ref="A1:F1"/>
    <mergeCell ref="G1:P1"/>
    <mergeCell ref="A3:F3"/>
    <mergeCell ref="G3:L3"/>
    <mergeCell ref="B5:C5"/>
    <mergeCell ref="I5:M5"/>
    <mergeCell ref="B6:C6"/>
    <mergeCell ref="B7:C7"/>
    <mergeCell ref="B8:C8"/>
    <mergeCell ref="B9:C9"/>
    <mergeCell ref="A28:F28"/>
    <mergeCell ref="G28:P28"/>
    <mergeCell ref="A30:D30"/>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6" man="true" max="16383" min="0"/>
  </rowBreak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E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C4" activeCellId="0" sqref="C4"/>
    </sheetView>
  </sheetViews>
  <sheetFormatPr defaultColWidth="8.859375" defaultRowHeight="15" zeroHeight="false" outlineLevelRow="0" outlineLevelCol="0"/>
  <cols>
    <col collapsed="false" customWidth="true" hidden="false" outlineLevel="0" max="5" min="2" style="36" width="13.86"/>
  </cols>
  <sheetData>
    <row r="1" customFormat="false" ht="21" hidden="false" customHeight="true" outlineLevel="0" collapsed="false">
      <c r="A1" s="176" t="s">
        <v>22</v>
      </c>
      <c r="B1" s="52" t="s">
        <v>377</v>
      </c>
      <c r="C1" s="52" t="s">
        <v>378</v>
      </c>
      <c r="D1" s="52" t="s">
        <v>379</v>
      </c>
      <c r="E1" s="52" t="s">
        <v>380</v>
      </c>
    </row>
    <row r="2" customFormat="false" ht="15" hidden="false" customHeight="false" outlineLevel="0" collapsed="false">
      <c r="A2" s="115" t="s">
        <v>113</v>
      </c>
      <c r="B2" s="196" t="n">
        <v>1</v>
      </c>
      <c r="C2" s="196" t="n">
        <v>2</v>
      </c>
      <c r="D2" s="196" t="n">
        <v>1.5</v>
      </c>
      <c r="E2" s="196" t="n">
        <v>4</v>
      </c>
    </row>
    <row r="3" customFormat="false" ht="15" hidden="false" customHeight="false" outlineLevel="0" collapsed="false">
      <c r="A3" s="115" t="s">
        <v>114</v>
      </c>
      <c r="B3" s="196" t="n">
        <v>1</v>
      </c>
      <c r="C3" s="196" t="n">
        <v>1</v>
      </c>
      <c r="D3" s="196" t="n">
        <v>2.5</v>
      </c>
      <c r="E3" s="196" t="n">
        <v>3</v>
      </c>
    </row>
    <row r="4" customFormat="false" ht="15" hidden="false" customHeight="false" outlineLevel="0" collapsed="false">
      <c r="A4" s="115" t="s">
        <v>115</v>
      </c>
      <c r="B4" s="196" t="n">
        <v>1</v>
      </c>
      <c r="C4" s="196" t="n">
        <v>3</v>
      </c>
      <c r="D4" s="196" t="n">
        <v>1</v>
      </c>
      <c r="E4" s="196" t="n">
        <v>3</v>
      </c>
    </row>
    <row r="5" customFormat="false" ht="15" hidden="false" customHeight="false" outlineLevel="0" collapsed="false">
      <c r="A5" s="115" t="s">
        <v>116</v>
      </c>
      <c r="B5" s="196" t="n">
        <v>1</v>
      </c>
      <c r="C5" s="196" t="n">
        <v>1</v>
      </c>
      <c r="D5" s="196" t="n">
        <v>1</v>
      </c>
      <c r="E5" s="196" t="n">
        <v>2</v>
      </c>
    </row>
    <row r="6" customFormat="false" ht="15" hidden="false" customHeight="false" outlineLevel="0" collapsed="false">
      <c r="A6" s="115" t="s">
        <v>117</v>
      </c>
      <c r="B6" s="196" t="n">
        <v>1</v>
      </c>
      <c r="C6" s="196" t="n">
        <v>1</v>
      </c>
      <c r="D6" s="196" t="n">
        <v>1</v>
      </c>
      <c r="E6" s="196" t="n">
        <v>2</v>
      </c>
    </row>
    <row r="7" customFormat="false" ht="15" hidden="false" customHeight="false" outlineLevel="0" collapsed="false">
      <c r="A7" s="117" t="s">
        <v>118</v>
      </c>
      <c r="B7" s="196" t="n">
        <v>1</v>
      </c>
      <c r="C7" s="196" t="n">
        <v>1.5</v>
      </c>
      <c r="D7" s="196" t="n">
        <v>1.5</v>
      </c>
      <c r="E7" s="196" t="n">
        <v>2.5</v>
      </c>
    </row>
    <row r="8" customFormat="false" ht="15" hidden="false" customHeight="false" outlineLevel="0" collapsed="false">
      <c r="A8" s="117" t="s">
        <v>119</v>
      </c>
      <c r="B8" s="196" t="n">
        <v>1</v>
      </c>
      <c r="C8" s="196" t="n">
        <v>1</v>
      </c>
      <c r="D8" s="196" t="n">
        <v>3</v>
      </c>
      <c r="E8" s="196" t="n">
        <v>3</v>
      </c>
    </row>
    <row r="9" customFormat="false" ht="15" hidden="false" customHeight="false" outlineLevel="0" collapsed="false">
      <c r="A9" s="117" t="s">
        <v>120</v>
      </c>
      <c r="B9" s="196" t="n">
        <v>1</v>
      </c>
      <c r="C9" s="196" t="n">
        <v>1</v>
      </c>
      <c r="D9" s="196" t="n">
        <v>2</v>
      </c>
      <c r="E9" s="196" t="n">
        <v>2</v>
      </c>
    </row>
    <row r="10" customFormat="false" ht="15" hidden="false" customHeight="false" outlineLevel="0" collapsed="false">
      <c r="A10" s="117" t="s">
        <v>121</v>
      </c>
      <c r="B10" s="177" t="n">
        <v>0.5</v>
      </c>
      <c r="C10" s="196" t="n">
        <v>1</v>
      </c>
      <c r="D10" s="196" t="n">
        <v>3.5</v>
      </c>
      <c r="E10" s="196" t="n">
        <v>4</v>
      </c>
    </row>
    <row r="11" customFormat="false" ht="15" hidden="false" customHeight="false" outlineLevel="0" collapsed="false">
      <c r="A11" s="117" t="s">
        <v>122</v>
      </c>
      <c r="B11" s="196" t="n">
        <v>1</v>
      </c>
      <c r="C11" s="196" t="n">
        <v>1</v>
      </c>
      <c r="D11" s="196" t="n">
        <v>2.5</v>
      </c>
      <c r="E11" s="196" t="n">
        <v>3</v>
      </c>
    </row>
    <row r="12" customFormat="false" ht="15" hidden="false" customHeight="false" outlineLevel="0" collapsed="false">
      <c r="A12" s="117" t="s">
        <v>123</v>
      </c>
      <c r="B12" s="196" t="n">
        <v>1</v>
      </c>
      <c r="C12" s="196" t="n">
        <v>1</v>
      </c>
      <c r="D12" s="196" t="n">
        <v>1</v>
      </c>
      <c r="E12" s="196" t="n">
        <v>2</v>
      </c>
    </row>
    <row r="13" customFormat="false" ht="15" hidden="false" customHeight="false" outlineLevel="0" collapsed="false">
      <c r="A13" s="117" t="s">
        <v>124</v>
      </c>
      <c r="B13" s="196" t="n">
        <v>1</v>
      </c>
      <c r="C13" s="196" t="n">
        <v>1</v>
      </c>
      <c r="D13" s="196" t="n">
        <v>1</v>
      </c>
      <c r="E13" s="196" t="n">
        <v>1.5</v>
      </c>
    </row>
    <row r="14" customFormat="false" ht="15" hidden="false" customHeight="false" outlineLevel="0" collapsed="false">
      <c r="A14" s="117" t="s">
        <v>125</v>
      </c>
      <c r="B14" s="196" t="n">
        <v>1</v>
      </c>
      <c r="C14" s="196" t="n">
        <v>1</v>
      </c>
      <c r="D14" s="196" t="n">
        <v>2</v>
      </c>
      <c r="E14" s="196" t="n">
        <v>2.5</v>
      </c>
    </row>
    <row r="15" customFormat="false" ht="15" hidden="false" customHeight="false" outlineLevel="0" collapsed="false">
      <c r="A15" s="117" t="s">
        <v>126</v>
      </c>
      <c r="B15" s="196" t="n">
        <v>1</v>
      </c>
      <c r="C15" s="196" t="n">
        <v>2</v>
      </c>
      <c r="D15" s="196" t="n">
        <v>1.5</v>
      </c>
      <c r="E15" s="196" t="n">
        <v>2</v>
      </c>
    </row>
    <row r="16" customFormat="false" ht="15" hidden="false" customHeight="false" outlineLevel="0" collapsed="false">
      <c r="A16" s="117" t="s">
        <v>127</v>
      </c>
      <c r="B16" s="196" t="n">
        <v>1</v>
      </c>
      <c r="C16" s="196" t="n">
        <v>2.5</v>
      </c>
      <c r="D16" s="196" t="n">
        <v>1.5</v>
      </c>
      <c r="E16" s="196" t="n">
        <v>2</v>
      </c>
    </row>
    <row r="17" customFormat="false" ht="15" hidden="false" customHeight="false" outlineLevel="0" collapsed="false">
      <c r="A17" s="117" t="s">
        <v>128</v>
      </c>
      <c r="B17" s="196" t="n">
        <v>1</v>
      </c>
      <c r="C17" s="196" t="n">
        <v>1.5</v>
      </c>
      <c r="D17" s="196" t="n">
        <v>1.5</v>
      </c>
      <c r="E17" s="196" t="n">
        <v>2</v>
      </c>
    </row>
    <row r="18" customFormat="false" ht="15" hidden="false" customHeight="false" outlineLevel="0" collapsed="false">
      <c r="A18" s="117" t="s">
        <v>129</v>
      </c>
      <c r="B18" s="196" t="n">
        <v>1</v>
      </c>
      <c r="C18" s="196" t="n">
        <v>2.5</v>
      </c>
      <c r="D18" s="196" t="n">
        <v>1</v>
      </c>
      <c r="E18" s="196" t="n">
        <v>3</v>
      </c>
    </row>
    <row r="19" customFormat="false" ht="15" hidden="false" customHeight="false" outlineLevel="0" collapsed="false">
      <c r="A19" s="117" t="s">
        <v>130</v>
      </c>
      <c r="B19" s="196" t="n">
        <v>1</v>
      </c>
      <c r="C19" s="196" t="n">
        <v>2</v>
      </c>
      <c r="D19" s="196" t="n">
        <v>1.5</v>
      </c>
      <c r="E19" s="196" t="n">
        <v>3</v>
      </c>
    </row>
    <row r="20" customFormat="false" ht="15" hidden="false" customHeight="false" outlineLevel="0" collapsed="false">
      <c r="A20" s="117" t="s">
        <v>131</v>
      </c>
      <c r="B20" s="196" t="n">
        <v>1</v>
      </c>
      <c r="C20" s="196" t="n">
        <v>1.5</v>
      </c>
      <c r="D20" s="196" t="n">
        <v>1.5</v>
      </c>
      <c r="E20" s="196" t="n">
        <v>2.5</v>
      </c>
    </row>
    <row r="21" customFormat="false" ht="15" hidden="false" customHeight="false" outlineLevel="0" collapsed="false">
      <c r="A21" s="115" t="s">
        <v>132</v>
      </c>
      <c r="B21" s="196" t="n">
        <v>1</v>
      </c>
      <c r="C21" s="196" t="n">
        <v>1</v>
      </c>
      <c r="D21" s="196" t="n">
        <v>2</v>
      </c>
      <c r="E21" s="196" t="n">
        <v>2.5</v>
      </c>
    </row>
    <row r="22" customFormat="false" ht="15" hidden="false" customHeight="false" outlineLevel="0" collapsed="false">
      <c r="A22" s="115" t="s">
        <v>133</v>
      </c>
      <c r="B22" s="196" t="n">
        <v>1</v>
      </c>
      <c r="C22" s="196" t="n">
        <v>1</v>
      </c>
      <c r="D22" s="196" t="n">
        <v>3</v>
      </c>
      <c r="E22" s="196" t="n">
        <v>3</v>
      </c>
    </row>
    <row r="23" customFormat="false" ht="15" hidden="false" customHeight="false" outlineLevel="0" collapsed="false">
      <c r="A23" s="115" t="s">
        <v>134</v>
      </c>
      <c r="B23" s="196" t="n">
        <v>1</v>
      </c>
      <c r="C23" s="196" t="n">
        <v>1</v>
      </c>
      <c r="D23" s="196" t="n">
        <v>3</v>
      </c>
      <c r="E23" s="196" t="n">
        <v>3</v>
      </c>
    </row>
    <row r="24" customFormat="false" ht="15" hidden="false" customHeight="false" outlineLevel="0" collapsed="false">
      <c r="A24" s="115" t="s">
        <v>135</v>
      </c>
      <c r="B24" s="196" t="n">
        <v>1</v>
      </c>
      <c r="C24" s="196" t="n">
        <v>2.5</v>
      </c>
      <c r="D24" s="196" t="n">
        <v>1.5</v>
      </c>
      <c r="E24" s="196" t="n">
        <v>2</v>
      </c>
    </row>
    <row r="25" customFormat="false" ht="15" hidden="false" customHeight="false" outlineLevel="0" collapsed="false">
      <c r="A25" s="115" t="s">
        <v>136</v>
      </c>
      <c r="B25" s="196" t="n">
        <v>1</v>
      </c>
      <c r="C25" s="196" t="n">
        <v>1</v>
      </c>
      <c r="D25" s="196" t="n">
        <v>1</v>
      </c>
      <c r="E25" s="196" t="n">
        <v>2</v>
      </c>
    </row>
    <row r="26" customFormat="false" ht="15" hidden="false" customHeight="false" outlineLevel="0" collapsed="false">
      <c r="A26" s="115" t="s">
        <v>137</v>
      </c>
      <c r="B26" s="196" t="n">
        <v>1</v>
      </c>
      <c r="C26" s="196" t="n">
        <v>2.5</v>
      </c>
      <c r="D26" s="196" t="n">
        <v>1</v>
      </c>
      <c r="E26" s="196" t="n">
        <v>2</v>
      </c>
    </row>
    <row r="27" customFormat="false" ht="15" hidden="false" customHeight="false" outlineLevel="0" collapsed="false">
      <c r="A27" s="115" t="s">
        <v>138</v>
      </c>
      <c r="B27" s="196" t="n">
        <v>1</v>
      </c>
      <c r="C27" s="196" t="n">
        <v>1</v>
      </c>
      <c r="D27" s="196" t="n">
        <v>2</v>
      </c>
      <c r="E27" s="196" t="n">
        <v>2</v>
      </c>
    </row>
    <row r="28" customFormat="false" ht="15" hidden="false" customHeight="false" outlineLevel="0" collapsed="false">
      <c r="A28" s="115" t="s">
        <v>139</v>
      </c>
      <c r="B28" s="196" t="n">
        <v>1</v>
      </c>
      <c r="C28" s="196" t="n">
        <v>1</v>
      </c>
      <c r="D28" s="196" t="n">
        <v>1</v>
      </c>
      <c r="E28" s="196" t="n">
        <v>2</v>
      </c>
    </row>
    <row r="29" customFormat="false" ht="15" hidden="false" customHeight="false" outlineLevel="0" collapsed="false">
      <c r="A29" s="115" t="s">
        <v>140</v>
      </c>
      <c r="B29" s="196" t="n">
        <v>1</v>
      </c>
      <c r="C29" s="196" t="n">
        <v>1</v>
      </c>
      <c r="D29" s="196" t="n">
        <v>1</v>
      </c>
      <c r="E29" s="196" t="n">
        <v>2</v>
      </c>
    </row>
    <row r="30" customFormat="false" ht="15" hidden="false" customHeight="false" outlineLevel="0" collapsed="false">
      <c r="A30" s="115" t="s">
        <v>141</v>
      </c>
      <c r="B30" s="196" t="n">
        <v>1</v>
      </c>
      <c r="C30" s="196" t="n">
        <v>1.5</v>
      </c>
      <c r="D30" s="196" t="n">
        <v>1</v>
      </c>
      <c r="E30" s="196" t="n">
        <v>2</v>
      </c>
    </row>
    <row r="31" customFormat="false" ht="15" hidden="false" customHeight="false" outlineLevel="0" collapsed="false">
      <c r="A31" s="115" t="s">
        <v>142</v>
      </c>
      <c r="B31" s="196" t="n">
        <v>1</v>
      </c>
      <c r="C31" s="196" t="n">
        <v>1</v>
      </c>
      <c r="D31" s="196" t="n">
        <v>2</v>
      </c>
      <c r="E31" s="196" t="n">
        <v>2</v>
      </c>
    </row>
    <row r="32" customFormat="false" ht="15" hidden="false" customHeight="false" outlineLevel="0" collapsed="false">
      <c r="A32" s="117" t="s">
        <v>143</v>
      </c>
      <c r="B32" s="196" t="n">
        <v>1</v>
      </c>
      <c r="C32" s="196" t="n">
        <v>3.5</v>
      </c>
      <c r="D32" s="196" t="n">
        <v>1</v>
      </c>
      <c r="E32" s="196" t="n">
        <v>3</v>
      </c>
    </row>
    <row r="33" customFormat="false" ht="15" hidden="false" customHeight="false" outlineLevel="0" collapsed="false">
      <c r="A33" s="117" t="s">
        <v>144</v>
      </c>
      <c r="B33" s="196" t="n">
        <v>1</v>
      </c>
      <c r="C33" s="196" t="n">
        <v>3</v>
      </c>
      <c r="D33" s="196" t="n">
        <v>1.5</v>
      </c>
      <c r="E33" s="196" t="n">
        <v>3</v>
      </c>
    </row>
    <row r="34" customFormat="false" ht="15" hidden="false" customHeight="false" outlineLevel="0" collapsed="false">
      <c r="A34" s="117" t="s">
        <v>145</v>
      </c>
      <c r="B34" s="196" t="n">
        <v>1</v>
      </c>
      <c r="C34" s="196" t="n">
        <v>3</v>
      </c>
      <c r="D34" s="196" t="n">
        <v>1.5</v>
      </c>
      <c r="E34" s="196" t="n">
        <v>3.5</v>
      </c>
    </row>
    <row r="35" customFormat="false" ht="15" hidden="false" customHeight="false" outlineLevel="0" collapsed="false">
      <c r="A35" s="117" t="s">
        <v>146</v>
      </c>
      <c r="B35" s="196" t="n">
        <v>1</v>
      </c>
      <c r="C35" s="196" t="n">
        <v>3</v>
      </c>
      <c r="D35" s="196" t="n">
        <v>1.5</v>
      </c>
      <c r="E35" s="196" t="n">
        <v>3.5</v>
      </c>
    </row>
    <row r="36" customFormat="false" ht="15" hidden="false" customHeight="false" outlineLevel="0" collapsed="false">
      <c r="A36" s="117" t="s">
        <v>147</v>
      </c>
      <c r="B36" s="196" t="n">
        <v>1.5</v>
      </c>
      <c r="C36" s="196" t="n">
        <v>2.5</v>
      </c>
      <c r="D36" s="196" t="n">
        <v>1.5</v>
      </c>
      <c r="E36" s="196" t="n">
        <v>3.5</v>
      </c>
    </row>
    <row r="37" customFormat="false" ht="15" hidden="false" customHeight="false" outlineLevel="0" collapsed="false">
      <c r="A37" s="117" t="s">
        <v>148</v>
      </c>
      <c r="B37" s="196" t="n">
        <v>1</v>
      </c>
      <c r="C37" s="196" t="n">
        <v>1</v>
      </c>
      <c r="D37" s="196" t="n">
        <v>1</v>
      </c>
      <c r="E37" s="196" t="n">
        <v>2.5</v>
      </c>
    </row>
    <row r="38" customFormat="false" ht="15" hidden="false" customHeight="false" outlineLevel="0" collapsed="false">
      <c r="A38" s="115" t="s">
        <v>149</v>
      </c>
      <c r="B38" s="196" t="n">
        <v>1</v>
      </c>
      <c r="C38" s="196" t="n">
        <v>1</v>
      </c>
      <c r="D38" s="196" t="n">
        <v>1</v>
      </c>
      <c r="E38" s="196" t="n">
        <v>2</v>
      </c>
    </row>
    <row r="39" customFormat="false" ht="15" hidden="false" customHeight="false" outlineLevel="0" collapsed="false">
      <c r="A39" s="115" t="s">
        <v>150</v>
      </c>
      <c r="B39" s="196" t="n">
        <v>1</v>
      </c>
      <c r="C39" s="196" t="n">
        <v>1</v>
      </c>
      <c r="D39" s="196" t="n">
        <v>1</v>
      </c>
      <c r="E39" s="196" t="n">
        <v>2</v>
      </c>
    </row>
    <row r="40" customFormat="false" ht="15" hidden="false" customHeight="false" outlineLevel="0" collapsed="false">
      <c r="A40" s="115" t="s">
        <v>151</v>
      </c>
      <c r="B40" s="196" t="n">
        <v>1</v>
      </c>
      <c r="C40" s="196" t="n">
        <v>1</v>
      </c>
      <c r="D40" s="196" t="n">
        <v>1</v>
      </c>
      <c r="E40" s="196" t="n">
        <v>1.5</v>
      </c>
    </row>
    <row r="41" customFormat="false" ht="15" hidden="false" customHeight="false" outlineLevel="0" collapsed="false">
      <c r="A41" s="115" t="s">
        <v>152</v>
      </c>
      <c r="B41" s="196" t="n">
        <v>1</v>
      </c>
      <c r="C41" s="196" t="n">
        <v>1</v>
      </c>
      <c r="D41" s="196" t="n">
        <v>1</v>
      </c>
      <c r="E41" s="196" t="n">
        <v>2</v>
      </c>
    </row>
  </sheetData>
  <conditionalFormatting sqref="B2:E41">
    <cfRule type="cellIs" priority="2" operator="greaterThanOrEqual" aboveAverage="0" equalAverage="0" bottom="0" percent="0" rank="0" text="" dxfId="2">
      <formula>3</formula>
    </cfRule>
    <cfRule type="cellIs" priority="3" operator="greaterThanOrEqual" aboveAverage="0" equalAverage="0" bottom="0" percent="0" rank="0" text="" dxfId="3">
      <formula>2</formula>
    </cfRule>
    <cfRule type="cellIs" priority="4" operator="greaterThanOrEqual" aboveAverage="0" equalAverage="0" bottom="0" percent="0" rank="0" text="" dxfId="4">
      <formula>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P7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25" activePane="bottomLeft" state="frozen"/>
      <selection pane="topLeft" activeCell="A1" activeCellId="0" sqref="A1"/>
      <selection pane="bottomLeft" activeCell="E6" activeCellId="0" sqref="E6"/>
    </sheetView>
  </sheetViews>
  <sheetFormatPr defaultColWidth="8.859375" defaultRowHeight="15" zeroHeight="false" outlineLevelRow="0" outlineLevelCol="0"/>
  <cols>
    <col collapsed="false" customWidth="true" hidden="false" outlineLevel="0" max="1" min="1" style="0" width="11.57"/>
    <col collapsed="false" customWidth="true" hidden="false" outlineLevel="0" max="3" min="3" style="0" width="9.14"/>
    <col collapsed="false" customWidth="true" hidden="false" outlineLevel="0" max="4" min="4" style="0" width="11.57"/>
    <col collapsed="false" customWidth="true" hidden="false" outlineLevel="0" max="5" min="5" style="0" width="28.86"/>
    <col collapsed="false" customWidth="true" hidden="false" outlineLevel="0" max="6" min="6" style="0" width="26.57"/>
    <col collapsed="false" customWidth="true" hidden="false" outlineLevel="0" max="7" min="7" style="0" width="17.57"/>
  </cols>
  <sheetData>
    <row r="1" s="25" customFormat="true" ht="29.25" hidden="false" customHeight="true" outlineLevel="0" collapsed="false">
      <c r="A1" s="79" t="s">
        <v>381</v>
      </c>
      <c r="B1" s="79"/>
      <c r="C1" s="79"/>
      <c r="D1" s="79"/>
      <c r="E1" s="79"/>
      <c r="F1" s="79"/>
      <c r="G1" s="79" t="s">
        <v>381</v>
      </c>
      <c r="H1" s="79"/>
      <c r="I1" s="79"/>
      <c r="J1" s="79"/>
      <c r="K1" s="79"/>
      <c r="L1" s="79"/>
      <c r="M1" s="79"/>
      <c r="N1" s="79"/>
      <c r="O1" s="79"/>
      <c r="P1" s="79"/>
    </row>
    <row r="2" customFormat="false" ht="12.75" hidden="false" customHeight="true" outlineLevel="0" collapsed="false"/>
    <row r="3" customFormat="false" ht="21" hidden="false" customHeight="true" outlineLevel="0" collapsed="false">
      <c r="A3" s="82" t="s">
        <v>382</v>
      </c>
      <c r="B3" s="82"/>
      <c r="C3" s="82"/>
      <c r="D3" s="82"/>
      <c r="E3" s="82"/>
      <c r="F3" s="82"/>
      <c r="G3" s="82" t="s">
        <v>382</v>
      </c>
      <c r="H3" s="82"/>
      <c r="I3" s="82"/>
      <c r="J3" s="82"/>
      <c r="K3" s="82"/>
      <c r="L3" s="82"/>
      <c r="M3" s="82"/>
      <c r="N3" s="82"/>
      <c r="O3" s="82"/>
      <c r="P3" s="82"/>
    </row>
    <row r="4" customFormat="false" ht="10.5" hidden="false" customHeight="true" outlineLevel="0" collapsed="false"/>
    <row r="5" customFormat="false" ht="19.5" hidden="false" customHeight="true" outlineLevel="0" collapsed="false">
      <c r="A5" s="184" t="s">
        <v>94</v>
      </c>
      <c r="B5" s="185" t="s">
        <v>367</v>
      </c>
      <c r="C5" s="185"/>
      <c r="D5" s="185" t="s">
        <v>96</v>
      </c>
    </row>
    <row r="6" customFormat="false" ht="19.5" hidden="false" customHeight="true" outlineLevel="0" collapsed="false">
      <c r="A6" s="198" t="s">
        <v>383</v>
      </c>
      <c r="B6" s="209" t="n">
        <v>0.15</v>
      </c>
      <c r="C6" s="209"/>
      <c r="D6" s="191" t="n">
        <v>0.33</v>
      </c>
      <c r="I6" s="187" t="s">
        <v>368</v>
      </c>
      <c r="J6" s="187"/>
      <c r="K6" s="187"/>
      <c r="L6" s="187"/>
      <c r="M6" s="187"/>
    </row>
    <row r="7" s="84" customFormat="true" ht="19.5" hidden="false" customHeight="true" outlineLevel="0" collapsed="false">
      <c r="A7" s="198" t="s">
        <v>384</v>
      </c>
      <c r="B7" s="209" t="n">
        <v>0.25</v>
      </c>
      <c r="C7" s="209"/>
      <c r="D7" s="191" t="n">
        <v>0.33</v>
      </c>
    </row>
    <row r="8" s="84" customFormat="true" ht="19.5" hidden="false" customHeight="true" outlineLevel="0" collapsed="false">
      <c r="A8" s="198" t="s">
        <v>385</v>
      </c>
      <c r="B8" s="210" t="n">
        <v>0.6</v>
      </c>
      <c r="C8" s="210"/>
      <c r="D8" s="193" t="n">
        <v>0.34</v>
      </c>
    </row>
    <row r="9" customFormat="false" ht="15" hidden="false" customHeight="false" outlineLevel="0" collapsed="false">
      <c r="A9" s="211"/>
      <c r="B9" s="211"/>
      <c r="C9" s="212"/>
      <c r="D9" s="212"/>
    </row>
    <row r="10" customFormat="false" ht="15" hidden="false" customHeight="false" outlineLevel="0" collapsed="false">
      <c r="A10" s="125" t="s">
        <v>101</v>
      </c>
      <c r="B10" s="98"/>
      <c r="C10" s="213"/>
      <c r="D10" s="57"/>
    </row>
    <row r="11" customFormat="false" ht="15" hidden="false" customHeight="false" outlineLevel="0" collapsed="false">
      <c r="A11" s="125" t="s">
        <v>102</v>
      </c>
      <c r="B11" s="98"/>
      <c r="C11" s="213"/>
      <c r="D11" s="57"/>
    </row>
    <row r="12" customFormat="false" ht="15.75" hidden="false" customHeight="true" outlineLevel="0" collapsed="false">
      <c r="A12" s="125" t="s">
        <v>103</v>
      </c>
      <c r="B12" s="98" t="n">
        <v>1</v>
      </c>
      <c r="E12" s="39"/>
      <c r="F12" s="39"/>
    </row>
    <row r="13" s="95" customFormat="true" ht="77.25" hidden="false" customHeight="true" outlineLevel="0" collapsed="false"/>
    <row r="14" s="95" customFormat="true" ht="12.75" hidden="false" customHeight="true" outlineLevel="0" collapsed="false"/>
    <row r="15" s="95" customFormat="true" ht="93" hidden="false" customHeight="true" outlineLevel="0" collapsed="false"/>
    <row r="16" s="95" customFormat="true" ht="12.75" hidden="false" customHeight="true" outlineLevel="0" collapsed="false">
      <c r="E16" s="126"/>
      <c r="F16" s="127"/>
    </row>
    <row r="17" s="95" customFormat="true" ht="12.75" hidden="false" customHeight="true" outlineLevel="0" collapsed="false">
      <c r="E17" s="126"/>
      <c r="F17" s="127"/>
    </row>
    <row r="18" s="95" customFormat="true" ht="12.75" hidden="false" customHeight="true" outlineLevel="0" collapsed="false">
      <c r="E18" s="126"/>
      <c r="F18" s="127"/>
    </row>
    <row r="19" s="95" customFormat="true" ht="12.75" hidden="false" customHeight="true" outlineLevel="0" collapsed="false">
      <c r="E19" s="126"/>
      <c r="F19" s="127"/>
    </row>
    <row r="20" s="95" customFormat="true" ht="12.75" hidden="false" customHeight="true" outlineLevel="0" collapsed="false">
      <c r="E20" s="126"/>
      <c r="F20" s="127"/>
    </row>
    <row r="21" s="95" customFormat="true" ht="12.75" hidden="false" customHeight="true" outlineLevel="0" collapsed="false">
      <c r="E21" s="126"/>
      <c r="F21" s="127"/>
    </row>
    <row r="22" s="95" customFormat="true" ht="12.75" hidden="false" customHeight="true" outlineLevel="0" collapsed="false">
      <c r="E22" s="126"/>
      <c r="F22" s="127"/>
    </row>
    <row r="23" s="95" customFormat="true" ht="12.75" hidden="false" customHeight="true" outlineLevel="0" collapsed="false">
      <c r="E23" s="126"/>
      <c r="F23" s="127"/>
    </row>
    <row r="24" s="95" customFormat="true" ht="61.5" hidden="false" customHeight="true" outlineLevel="0" collapsed="false">
      <c r="E24" s="126"/>
      <c r="F24" s="127"/>
    </row>
    <row r="25" s="95" customFormat="true" ht="12.75" hidden="false" customHeight="true" outlineLevel="0" collapsed="false">
      <c r="E25" s="126"/>
      <c r="F25" s="127"/>
    </row>
    <row r="26" s="95" customFormat="true" ht="12.75" hidden="false" customHeight="true" outlineLevel="0" collapsed="false">
      <c r="E26" s="126"/>
      <c r="F26" s="127"/>
    </row>
    <row r="27" s="95" customFormat="true" ht="12.75" hidden="false" customHeight="true" outlineLevel="0" collapsed="false">
      <c r="E27" s="126"/>
      <c r="F27" s="127"/>
    </row>
    <row r="28" s="84" customFormat="true" ht="24" hidden="false" customHeight="true" outlineLevel="0" collapsed="false">
      <c r="A28" s="99" t="s">
        <v>104</v>
      </c>
      <c r="B28" s="99"/>
      <c r="C28" s="99"/>
      <c r="D28" s="99"/>
      <c r="E28" s="99"/>
      <c r="F28" s="99"/>
      <c r="G28" s="99" t="s">
        <v>104</v>
      </c>
      <c r="H28" s="99"/>
      <c r="I28" s="99"/>
      <c r="J28" s="99"/>
      <c r="K28" s="99"/>
      <c r="L28" s="99"/>
      <c r="M28" s="99"/>
      <c r="N28" s="99"/>
      <c r="O28" s="99"/>
      <c r="P28" s="99"/>
    </row>
    <row r="29" customFormat="false" ht="9" hidden="false" customHeight="true" outlineLevel="0" collapsed="false"/>
    <row r="30" s="84" customFormat="true" ht="28.5" hidden="false" customHeight="true" outlineLevel="0" collapsed="false">
      <c r="A30" s="194" t="s">
        <v>169</v>
      </c>
      <c r="B30" s="194"/>
      <c r="C30" s="194"/>
      <c r="D30" s="194"/>
    </row>
    <row r="31" s="84" customFormat="true" ht="43.5" hidden="false" customHeight="true" outlineLevel="0" collapsed="false">
      <c r="A31" s="104" t="s">
        <v>106</v>
      </c>
      <c r="B31" s="105" t="s">
        <v>107</v>
      </c>
      <c r="C31" s="105" t="s">
        <v>108</v>
      </c>
      <c r="D31" s="105" t="s">
        <v>109</v>
      </c>
    </row>
    <row r="32" customFormat="false" ht="15" hidden="false" customHeight="false" outlineLevel="0" collapsed="false">
      <c r="A32" s="129" t="s">
        <v>113</v>
      </c>
      <c r="B32" s="195" t="n">
        <f aca="false" t="array" ref="B32:B71">MMULT(DF8map!B2:D41,DF8!B6:B8)</f>
        <v>1</v>
      </c>
      <c r="C32" s="195" t="n">
        <f aca="false" t="array" ref="C32:C71">MMULT(DF8map!B2:D41,DF8!D6:D8)</f>
        <v>1</v>
      </c>
      <c r="D32" s="132" t="n">
        <f aca="false">IFERROR(MROUND((100*B32/C32),5)-100,0)</f>
        <v>0</v>
      </c>
    </row>
    <row r="33" customFormat="false" ht="15" hidden="false" customHeight="false" outlineLevel="0" collapsed="false">
      <c r="A33" s="129" t="s">
        <v>114</v>
      </c>
      <c r="B33" s="195" t="n">
        <v>1</v>
      </c>
      <c r="C33" s="195" t="n">
        <v>1</v>
      </c>
      <c r="D33" s="132" t="n">
        <f aca="false">IFERROR(MROUND((100*B33/C33),5)-100,0)</f>
        <v>0</v>
      </c>
      <c r="I33" s="36"/>
    </row>
    <row r="34" customFormat="false" ht="15" hidden="false" customHeight="false" outlineLevel="0" collapsed="false">
      <c r="A34" s="129" t="s">
        <v>115</v>
      </c>
      <c r="B34" s="195" t="n">
        <v>1.25</v>
      </c>
      <c r="C34" s="195" t="n">
        <v>1.33</v>
      </c>
      <c r="D34" s="132" t="n">
        <f aca="false">IFERROR(MROUND((100*B34/C34),5)-100,0)</f>
        <v>-5</v>
      </c>
    </row>
    <row r="35" customFormat="false" ht="15" hidden="false" customHeight="false" outlineLevel="0" collapsed="false">
      <c r="A35" s="129" t="s">
        <v>116</v>
      </c>
      <c r="B35" s="195" t="n">
        <v>1</v>
      </c>
      <c r="C35" s="195" t="n">
        <v>1</v>
      </c>
      <c r="D35" s="132" t="n">
        <f aca="false">IFERROR(MROUND((100*B35/C35),5)-100,0)</f>
        <v>0</v>
      </c>
    </row>
    <row r="36" customFormat="false" ht="15" hidden="false" customHeight="false" outlineLevel="0" collapsed="false">
      <c r="A36" s="129" t="s">
        <v>117</v>
      </c>
      <c r="B36" s="195" t="n">
        <v>1</v>
      </c>
      <c r="C36" s="195" t="n">
        <v>1</v>
      </c>
      <c r="D36" s="132" t="n">
        <f aca="false">IFERROR(MROUND((100*B36/C36),5)-100,0)</f>
        <v>0</v>
      </c>
    </row>
    <row r="37" customFormat="false" ht="15" hidden="false" customHeight="false" outlineLevel="0" collapsed="false">
      <c r="A37" s="133" t="s">
        <v>118</v>
      </c>
      <c r="B37" s="195" t="n">
        <v>1</v>
      </c>
      <c r="C37" s="195" t="n">
        <v>1</v>
      </c>
      <c r="D37" s="132" t="n">
        <f aca="false">IFERROR(MROUND((100*B37/C37),5)-100,0)</f>
        <v>0</v>
      </c>
    </row>
    <row r="38" customFormat="false" ht="15" hidden="false" customHeight="false" outlineLevel="0" collapsed="false">
      <c r="A38" s="133" t="s">
        <v>119</v>
      </c>
      <c r="B38" s="195" t="n">
        <v>1</v>
      </c>
      <c r="C38" s="195" t="n">
        <v>1</v>
      </c>
      <c r="D38" s="132" t="n">
        <f aca="false">IFERROR(MROUND((100*B38/C38),5)-100,0)</f>
        <v>0</v>
      </c>
    </row>
    <row r="39" customFormat="false" ht="15" hidden="false" customHeight="false" outlineLevel="0" collapsed="false">
      <c r="A39" s="133" t="s">
        <v>120</v>
      </c>
      <c r="B39" s="195" t="n">
        <v>1</v>
      </c>
      <c r="C39" s="195" t="n">
        <v>1</v>
      </c>
      <c r="D39" s="132" t="n">
        <f aca="false">IFERROR(MROUND((100*B39/C39),5)-100,0)</f>
        <v>0</v>
      </c>
    </row>
    <row r="40" customFormat="false" ht="15" hidden="false" customHeight="false" outlineLevel="0" collapsed="false">
      <c r="A40" s="133" t="s">
        <v>121</v>
      </c>
      <c r="B40" s="195" t="n">
        <v>1</v>
      </c>
      <c r="C40" s="195" t="n">
        <v>1</v>
      </c>
      <c r="D40" s="132" t="n">
        <f aca="false">IFERROR(MROUND((100*B40/C40),5)-100,0)</f>
        <v>0</v>
      </c>
    </row>
    <row r="41" customFormat="false" ht="15" hidden="false" customHeight="false" outlineLevel="0" collapsed="false">
      <c r="A41" s="133" t="s">
        <v>122</v>
      </c>
      <c r="B41" s="195" t="n">
        <v>1</v>
      </c>
      <c r="C41" s="195" t="n">
        <v>1</v>
      </c>
      <c r="D41" s="132" t="n">
        <f aca="false">IFERROR(MROUND((100*B41/C41),5)-100,0)</f>
        <v>0</v>
      </c>
    </row>
    <row r="42" customFormat="false" ht="15" hidden="false" customHeight="false" outlineLevel="0" collapsed="false">
      <c r="A42" s="133" t="s">
        <v>123</v>
      </c>
      <c r="B42" s="195" t="n">
        <v>1</v>
      </c>
      <c r="C42" s="195" t="n">
        <v>1</v>
      </c>
      <c r="D42" s="132" t="n">
        <f aca="false">IFERROR(MROUND((100*B42/C42),5)-100,0)</f>
        <v>0</v>
      </c>
    </row>
    <row r="43" customFormat="false" ht="15" hidden="false" customHeight="false" outlineLevel="0" collapsed="false">
      <c r="A43" s="133" t="s">
        <v>124</v>
      </c>
      <c r="B43" s="195" t="n">
        <v>1</v>
      </c>
      <c r="C43" s="195" t="n">
        <v>1</v>
      </c>
      <c r="D43" s="132" t="n">
        <f aca="false">IFERROR(MROUND((100*B43/C43),5)-100,0)</f>
        <v>0</v>
      </c>
    </row>
    <row r="44" customFormat="false" ht="15" hidden="false" customHeight="false" outlineLevel="0" collapsed="false">
      <c r="A44" s="133" t="s">
        <v>125</v>
      </c>
      <c r="B44" s="195" t="n">
        <v>1</v>
      </c>
      <c r="C44" s="195" t="n">
        <v>1</v>
      </c>
      <c r="D44" s="132" t="n">
        <f aca="false">IFERROR(MROUND((100*B44/C44),5)-100,0)</f>
        <v>0</v>
      </c>
    </row>
    <row r="45" customFormat="false" ht="15" hidden="false" customHeight="false" outlineLevel="0" collapsed="false">
      <c r="A45" s="133" t="s">
        <v>126</v>
      </c>
      <c r="B45" s="195" t="n">
        <v>2.2</v>
      </c>
      <c r="C45" s="195" t="n">
        <v>2.98</v>
      </c>
      <c r="D45" s="132" t="n">
        <f aca="false">IFERROR(MROUND((100*B45/C45),5)-100,0)</f>
        <v>-25</v>
      </c>
    </row>
    <row r="46" customFormat="false" ht="15" hidden="false" customHeight="false" outlineLevel="0" collapsed="false">
      <c r="A46" s="133" t="s">
        <v>127</v>
      </c>
      <c r="B46" s="195" t="n">
        <v>2.2</v>
      </c>
      <c r="C46" s="195" t="n">
        <v>2.98</v>
      </c>
      <c r="D46" s="132" t="n">
        <f aca="false">IFERROR(MROUND((100*B46/C46),5)-100,0)</f>
        <v>-25</v>
      </c>
    </row>
    <row r="47" customFormat="false" ht="15" hidden="false" customHeight="false" outlineLevel="0" collapsed="false">
      <c r="A47" s="133" t="s">
        <v>128</v>
      </c>
      <c r="B47" s="195" t="n">
        <v>1</v>
      </c>
      <c r="C47" s="195" t="n">
        <v>1</v>
      </c>
      <c r="D47" s="132" t="n">
        <f aca="false">IFERROR(MROUND((100*B47/C47),5)-100,0)</f>
        <v>0</v>
      </c>
    </row>
    <row r="48" customFormat="false" ht="15" hidden="false" customHeight="false" outlineLevel="0" collapsed="false">
      <c r="A48" s="133" t="s">
        <v>129</v>
      </c>
      <c r="B48" s="195" t="n">
        <v>1.4</v>
      </c>
      <c r="C48" s="195" t="n">
        <v>1.66</v>
      </c>
      <c r="D48" s="132" t="n">
        <f aca="false">IFERROR(MROUND((100*B48/C48),5)-100,0)</f>
        <v>-15</v>
      </c>
    </row>
    <row r="49" customFormat="false" ht="15" hidden="false" customHeight="false" outlineLevel="0" collapsed="false">
      <c r="A49" s="133" t="s">
        <v>130</v>
      </c>
      <c r="B49" s="195" t="n">
        <v>1</v>
      </c>
      <c r="C49" s="195" t="n">
        <v>1</v>
      </c>
      <c r="D49" s="132" t="n">
        <f aca="false">IFERROR(MROUND((100*B49/C49),5)-100,0)</f>
        <v>0</v>
      </c>
    </row>
    <row r="50" customFormat="false" ht="15" hidden="false" customHeight="false" outlineLevel="0" collapsed="false">
      <c r="A50" s="133" t="s">
        <v>131</v>
      </c>
      <c r="B50" s="195" t="n">
        <v>1</v>
      </c>
      <c r="C50" s="195" t="n">
        <v>1</v>
      </c>
      <c r="D50" s="132" t="n">
        <f aca="false">IFERROR(MROUND((100*B50/C50),5)-100,0)</f>
        <v>0</v>
      </c>
    </row>
    <row r="51" customFormat="false" ht="15" hidden="false" customHeight="false" outlineLevel="0" collapsed="false">
      <c r="A51" s="129" t="s">
        <v>170</v>
      </c>
      <c r="B51" s="195" t="n">
        <v>1</v>
      </c>
      <c r="C51" s="195" t="n">
        <v>1</v>
      </c>
      <c r="D51" s="132" t="n">
        <f aca="false">IFERROR(MROUND((100*B51/C51),5)-100,0)</f>
        <v>0</v>
      </c>
    </row>
    <row r="52" customFormat="false" ht="15" hidden="false" customHeight="false" outlineLevel="0" collapsed="false">
      <c r="A52" s="129" t="s">
        <v>133</v>
      </c>
      <c r="B52" s="195" t="n">
        <v>1</v>
      </c>
      <c r="C52" s="195" t="n">
        <v>1</v>
      </c>
      <c r="D52" s="132" t="n">
        <f aca="false">IFERROR(MROUND((100*B52/C52),5)-100,0)</f>
        <v>0</v>
      </c>
    </row>
    <row r="53" customFormat="false" ht="15" hidden="false" customHeight="false" outlineLevel="0" collapsed="false">
      <c r="A53" s="129" t="s">
        <v>134</v>
      </c>
      <c r="B53" s="195" t="n">
        <v>1</v>
      </c>
      <c r="C53" s="195" t="n">
        <v>1</v>
      </c>
      <c r="D53" s="132" t="n">
        <f aca="false">IFERROR(MROUND((100*B53/C53),5)-100,0)</f>
        <v>0</v>
      </c>
    </row>
    <row r="54" customFormat="false" ht="15" hidden="false" customHeight="false" outlineLevel="0" collapsed="false">
      <c r="A54" s="129" t="s">
        <v>135</v>
      </c>
      <c r="B54" s="195" t="n">
        <v>1</v>
      </c>
      <c r="C54" s="195" t="n">
        <v>1</v>
      </c>
      <c r="D54" s="132" t="n">
        <f aca="false">IFERROR(MROUND((100*B54/C54),5)-100,0)</f>
        <v>0</v>
      </c>
    </row>
    <row r="55" customFormat="false" ht="15" hidden="false" customHeight="false" outlineLevel="0" collapsed="false">
      <c r="A55" s="129" t="s">
        <v>136</v>
      </c>
      <c r="B55" s="195" t="n">
        <v>1</v>
      </c>
      <c r="C55" s="195" t="n">
        <v>1</v>
      </c>
      <c r="D55" s="132" t="n">
        <f aca="false">IFERROR(MROUND((100*B55/C55),5)-100,0)</f>
        <v>0</v>
      </c>
    </row>
    <row r="56" customFormat="false" ht="15" hidden="false" customHeight="false" outlineLevel="0" collapsed="false">
      <c r="A56" s="129" t="s">
        <v>137</v>
      </c>
      <c r="B56" s="195" t="n">
        <v>1</v>
      </c>
      <c r="C56" s="195" t="n">
        <v>1</v>
      </c>
      <c r="D56" s="132" t="n">
        <f aca="false">IFERROR(MROUND((100*B56/C56),5)-100,0)</f>
        <v>0</v>
      </c>
    </row>
    <row r="57" customFormat="false" ht="15" hidden="false" customHeight="false" outlineLevel="0" collapsed="false">
      <c r="A57" s="129" t="s">
        <v>138</v>
      </c>
      <c r="B57" s="195" t="n">
        <v>1</v>
      </c>
      <c r="C57" s="195" t="n">
        <v>1</v>
      </c>
      <c r="D57" s="132" t="n">
        <f aca="false">IFERROR(MROUND((100*B57/C57),5)-100,0)</f>
        <v>0</v>
      </c>
    </row>
    <row r="58" customFormat="false" ht="15" hidden="false" customHeight="false" outlineLevel="0" collapsed="false">
      <c r="A58" s="129" t="s">
        <v>139</v>
      </c>
      <c r="B58" s="195" t="n">
        <v>1</v>
      </c>
      <c r="C58" s="195" t="n">
        <v>1</v>
      </c>
      <c r="D58" s="132" t="n">
        <f aca="false">IFERROR(MROUND((100*B58/C58),5)-100,0)</f>
        <v>0</v>
      </c>
    </row>
    <row r="59" customFormat="false" ht="15" hidden="false" customHeight="false" outlineLevel="0" collapsed="false">
      <c r="A59" s="129" t="s">
        <v>140</v>
      </c>
      <c r="B59" s="195" t="n">
        <v>1</v>
      </c>
      <c r="C59" s="195" t="n">
        <v>1</v>
      </c>
      <c r="D59" s="132" t="n">
        <f aca="false">IFERROR(MROUND((100*B59/C59),5)-100,0)</f>
        <v>0</v>
      </c>
    </row>
    <row r="60" customFormat="false" ht="15" hidden="false" customHeight="false" outlineLevel="0" collapsed="false">
      <c r="A60" s="129" t="s">
        <v>141</v>
      </c>
      <c r="B60" s="195" t="n">
        <v>1</v>
      </c>
      <c r="C60" s="195" t="n">
        <v>1</v>
      </c>
      <c r="D60" s="132" t="n">
        <f aca="false">IFERROR(MROUND((100*B60/C60),5)-100,0)</f>
        <v>0</v>
      </c>
    </row>
    <row r="61" customFormat="false" ht="15" hidden="false" customHeight="false" outlineLevel="0" collapsed="false">
      <c r="A61" s="129" t="s">
        <v>142</v>
      </c>
      <c r="B61" s="195" t="n">
        <v>1</v>
      </c>
      <c r="C61" s="195" t="n">
        <v>1</v>
      </c>
      <c r="D61" s="132" t="n">
        <f aca="false">IFERROR(MROUND((100*B61/C61),5)-100,0)</f>
        <v>0</v>
      </c>
    </row>
    <row r="62" customFormat="false" ht="15" hidden="false" customHeight="false" outlineLevel="0" collapsed="false">
      <c r="A62" s="133" t="s">
        <v>143</v>
      </c>
      <c r="B62" s="195" t="n">
        <v>1</v>
      </c>
      <c r="C62" s="195" t="n">
        <v>1</v>
      </c>
      <c r="D62" s="132" t="n">
        <f aca="false">IFERROR(MROUND((100*B62/C62),5)-100,0)</f>
        <v>0</v>
      </c>
    </row>
    <row r="63" customFormat="false" ht="15" hidden="false" customHeight="false" outlineLevel="0" collapsed="false">
      <c r="A63" s="133" t="s">
        <v>144</v>
      </c>
      <c r="B63" s="195" t="n">
        <v>1</v>
      </c>
      <c r="C63" s="195" t="n">
        <v>1</v>
      </c>
      <c r="D63" s="132" t="n">
        <f aca="false">IFERROR(MROUND((100*B63/C63),5)-100,0)</f>
        <v>0</v>
      </c>
    </row>
    <row r="64" customFormat="false" ht="15" hidden="false" customHeight="false" outlineLevel="0" collapsed="false">
      <c r="A64" s="133" t="s">
        <v>145</v>
      </c>
      <c r="B64" s="195" t="n">
        <v>1</v>
      </c>
      <c r="C64" s="195" t="n">
        <v>1</v>
      </c>
      <c r="D64" s="132" t="n">
        <f aca="false">IFERROR(MROUND((100*B64/C64),5)-100,0)</f>
        <v>0</v>
      </c>
    </row>
    <row r="65" customFormat="false" ht="15" hidden="false" customHeight="false" outlineLevel="0" collapsed="false">
      <c r="A65" s="133" t="s">
        <v>146</v>
      </c>
      <c r="B65" s="195" t="n">
        <v>1</v>
      </c>
      <c r="C65" s="195" t="n">
        <v>1</v>
      </c>
      <c r="D65" s="132" t="n">
        <f aca="false">IFERROR(MROUND((100*B65/C65),5)-100,0)</f>
        <v>0</v>
      </c>
    </row>
    <row r="66" customFormat="false" ht="15" hidden="false" customHeight="false" outlineLevel="0" collapsed="false">
      <c r="A66" s="133" t="s">
        <v>147</v>
      </c>
      <c r="B66" s="195" t="n">
        <v>1</v>
      </c>
      <c r="C66" s="195" t="n">
        <v>1</v>
      </c>
      <c r="D66" s="132" t="n">
        <f aca="false">IFERROR(MROUND((100*B66/C66),5)-100,0)</f>
        <v>0</v>
      </c>
    </row>
    <row r="67" customFormat="false" ht="15" hidden="false" customHeight="false" outlineLevel="0" collapsed="false">
      <c r="A67" s="133" t="s">
        <v>148</v>
      </c>
      <c r="B67" s="195" t="n">
        <v>1</v>
      </c>
      <c r="C67" s="195" t="n">
        <v>1</v>
      </c>
      <c r="D67" s="132" t="n">
        <f aca="false">IFERROR(MROUND((100*B67/C67),5)-100,0)</f>
        <v>0</v>
      </c>
    </row>
    <row r="68" customFormat="false" ht="15" hidden="false" customHeight="false" outlineLevel="0" collapsed="false">
      <c r="A68" s="129" t="s">
        <v>149</v>
      </c>
      <c r="B68" s="195" t="n">
        <v>1.8</v>
      </c>
      <c r="C68" s="195" t="n">
        <v>2.32</v>
      </c>
      <c r="D68" s="132" t="n">
        <f aca="false">IFERROR(MROUND((100*B68/C68),5)-100,0)</f>
        <v>-20</v>
      </c>
    </row>
    <row r="69" customFormat="false" ht="15" hidden="false" customHeight="false" outlineLevel="0" collapsed="false">
      <c r="A69" s="129" t="s">
        <v>150</v>
      </c>
      <c r="B69" s="195" t="n">
        <v>1</v>
      </c>
      <c r="C69" s="195" t="n">
        <v>1</v>
      </c>
      <c r="D69" s="132" t="n">
        <f aca="false">IFERROR(MROUND((100*B69/C69),5)-100,0)</f>
        <v>0</v>
      </c>
    </row>
    <row r="70" customFormat="false" ht="15" hidden="false" customHeight="false" outlineLevel="0" collapsed="false">
      <c r="A70" s="129" t="s">
        <v>151</v>
      </c>
      <c r="B70" s="195" t="n">
        <v>1</v>
      </c>
      <c r="C70" s="195" t="n">
        <v>1</v>
      </c>
      <c r="D70" s="132" t="n">
        <f aca="false">IFERROR(MROUND((100*B70/C70),5)-100,0)</f>
        <v>0</v>
      </c>
    </row>
    <row r="71" customFormat="false" ht="15" hidden="false" customHeight="false" outlineLevel="0" collapsed="false">
      <c r="A71" s="129" t="s">
        <v>152</v>
      </c>
      <c r="B71" s="195" t="n">
        <v>1</v>
      </c>
      <c r="C71" s="195" t="n">
        <v>1</v>
      </c>
      <c r="D71" s="132" t="n">
        <f aca="false">IFERROR(MROUND((100*B71/C71),5)-100,0)</f>
        <v>0</v>
      </c>
    </row>
  </sheetData>
  <mergeCells count="12">
    <mergeCell ref="A1:F1"/>
    <mergeCell ref="G1:P1"/>
    <mergeCell ref="A3:F3"/>
    <mergeCell ref="G3:P3"/>
    <mergeCell ref="B5:C5"/>
    <mergeCell ref="B6:C6"/>
    <mergeCell ref="I6:M6"/>
    <mergeCell ref="B7:C7"/>
    <mergeCell ref="B8:C8"/>
    <mergeCell ref="A28:F28"/>
    <mergeCell ref="G28:P28"/>
    <mergeCell ref="A30:D30"/>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6" man="true" max="16383" min="0"/>
  </rowBreak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F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859375" defaultRowHeight="15.75" zeroHeight="false" outlineLevelRow="0" outlineLevelCol="0"/>
  <cols>
    <col collapsed="false" customWidth="true" hidden="false" outlineLevel="0" max="1" min="1" style="39" width="8.71"/>
    <col collapsed="false" customWidth="true" hidden="false" outlineLevel="0" max="4" min="2" style="214" width="13.86"/>
  </cols>
  <sheetData>
    <row r="1" customFormat="false" ht="21" hidden="false" customHeight="true" outlineLevel="0" collapsed="false">
      <c r="A1" s="176" t="s">
        <v>23</v>
      </c>
      <c r="B1" s="52" t="s">
        <v>383</v>
      </c>
      <c r="C1" s="52" t="s">
        <v>384</v>
      </c>
      <c r="D1" s="52" t="s">
        <v>386</v>
      </c>
    </row>
    <row r="2" customFormat="false" ht="15" hidden="false" customHeight="true" outlineLevel="0" collapsed="false">
      <c r="A2" s="115" t="s">
        <v>113</v>
      </c>
      <c r="B2" s="215" t="n">
        <v>1</v>
      </c>
      <c r="C2" s="215" t="n">
        <v>1</v>
      </c>
      <c r="D2" s="215" t="n">
        <v>1</v>
      </c>
    </row>
    <row r="3" customFormat="false" ht="15" hidden="false" customHeight="true" outlineLevel="0" collapsed="false">
      <c r="A3" s="115" t="s">
        <v>114</v>
      </c>
      <c r="B3" s="215" t="n">
        <v>1</v>
      </c>
      <c r="C3" s="215" t="n">
        <v>1</v>
      </c>
      <c r="D3" s="215" t="n">
        <v>1</v>
      </c>
    </row>
    <row r="4" customFormat="false" ht="15" hidden="false" customHeight="true" outlineLevel="0" collapsed="false">
      <c r="A4" s="115" t="s">
        <v>115</v>
      </c>
      <c r="B4" s="215" t="n">
        <v>1</v>
      </c>
      <c r="C4" s="215" t="n">
        <v>2</v>
      </c>
      <c r="D4" s="215" t="n">
        <v>1</v>
      </c>
    </row>
    <row r="5" customFormat="false" ht="15" hidden="false" customHeight="true" outlineLevel="0" collapsed="false">
      <c r="A5" s="115" t="s">
        <v>116</v>
      </c>
      <c r="B5" s="215" t="n">
        <v>1</v>
      </c>
      <c r="C5" s="215" t="n">
        <v>1</v>
      </c>
      <c r="D5" s="215" t="n">
        <v>1</v>
      </c>
    </row>
    <row r="6" customFormat="false" ht="15" hidden="false" customHeight="true" outlineLevel="0" collapsed="false">
      <c r="A6" s="115" t="s">
        <v>117</v>
      </c>
      <c r="B6" s="215" t="n">
        <v>1</v>
      </c>
      <c r="C6" s="215" t="n">
        <v>1</v>
      </c>
      <c r="D6" s="215" t="n">
        <v>1</v>
      </c>
      <c r="F6" s="203"/>
    </row>
    <row r="7" customFormat="false" ht="15" hidden="false" customHeight="true" outlineLevel="0" collapsed="false">
      <c r="A7" s="117" t="s">
        <v>118</v>
      </c>
      <c r="B7" s="215" t="n">
        <v>1</v>
      </c>
      <c r="C7" s="215" t="n">
        <v>1</v>
      </c>
      <c r="D7" s="215" t="n">
        <v>1</v>
      </c>
      <c r="F7" s="203"/>
    </row>
    <row r="8" customFormat="false" ht="15" hidden="false" customHeight="true" outlineLevel="0" collapsed="false">
      <c r="A8" s="117" t="s">
        <v>119</v>
      </c>
      <c r="B8" s="215" t="n">
        <v>1</v>
      </c>
      <c r="C8" s="215" t="n">
        <v>1</v>
      </c>
      <c r="D8" s="215" t="n">
        <v>1</v>
      </c>
      <c r="F8" s="203"/>
    </row>
    <row r="9" customFormat="false" ht="15" hidden="false" customHeight="true" outlineLevel="0" collapsed="false">
      <c r="A9" s="117" t="s">
        <v>120</v>
      </c>
      <c r="B9" s="215" t="n">
        <v>1</v>
      </c>
      <c r="C9" s="215" t="n">
        <v>1</v>
      </c>
      <c r="D9" s="215" t="n">
        <v>1</v>
      </c>
      <c r="F9" s="203"/>
    </row>
    <row r="10" customFormat="false" ht="15" hidden="false" customHeight="true" outlineLevel="0" collapsed="false">
      <c r="A10" s="117" t="s">
        <v>121</v>
      </c>
      <c r="B10" s="215" t="n">
        <v>1</v>
      </c>
      <c r="C10" s="215" t="n">
        <v>1</v>
      </c>
      <c r="D10" s="215" t="n">
        <v>1</v>
      </c>
      <c r="F10" s="204"/>
    </row>
    <row r="11" customFormat="false" ht="15" hidden="false" customHeight="true" outlineLevel="0" collapsed="false">
      <c r="A11" s="117" t="s">
        <v>122</v>
      </c>
      <c r="B11" s="215" t="n">
        <v>1</v>
      </c>
      <c r="C11" s="215" t="n">
        <v>1</v>
      </c>
      <c r="D11" s="215" t="n">
        <v>1</v>
      </c>
    </row>
    <row r="12" customFormat="false" ht="15" hidden="false" customHeight="true" outlineLevel="0" collapsed="false">
      <c r="A12" s="117" t="s">
        <v>123</v>
      </c>
      <c r="B12" s="215" t="n">
        <v>1</v>
      </c>
      <c r="C12" s="215" t="n">
        <v>1</v>
      </c>
      <c r="D12" s="215" t="n">
        <v>1</v>
      </c>
    </row>
    <row r="13" customFormat="false" ht="15" hidden="false" customHeight="true" outlineLevel="0" collapsed="false">
      <c r="A13" s="117" t="s">
        <v>124</v>
      </c>
      <c r="B13" s="215" t="n">
        <v>1</v>
      </c>
      <c r="C13" s="215" t="n">
        <v>1</v>
      </c>
      <c r="D13" s="215" t="n">
        <v>1</v>
      </c>
    </row>
    <row r="14" customFormat="false" ht="15" hidden="false" customHeight="true" outlineLevel="0" collapsed="false">
      <c r="A14" s="117" t="s">
        <v>125</v>
      </c>
      <c r="B14" s="215" t="n">
        <v>1</v>
      </c>
      <c r="C14" s="215" t="n">
        <v>1</v>
      </c>
      <c r="D14" s="215" t="n">
        <v>1</v>
      </c>
    </row>
    <row r="15" customFormat="false" ht="15" hidden="false" customHeight="true" outlineLevel="0" collapsed="false">
      <c r="A15" s="117" t="s">
        <v>126</v>
      </c>
      <c r="B15" s="215" t="n">
        <v>4</v>
      </c>
      <c r="C15" s="215" t="n">
        <v>4</v>
      </c>
      <c r="D15" s="215" t="n">
        <v>1</v>
      </c>
    </row>
    <row r="16" customFormat="false" ht="15" hidden="false" customHeight="true" outlineLevel="0" collapsed="false">
      <c r="A16" s="117" t="s">
        <v>127</v>
      </c>
      <c r="B16" s="215" t="n">
        <v>4</v>
      </c>
      <c r="C16" s="215" t="n">
        <v>4</v>
      </c>
      <c r="D16" s="215" t="n">
        <v>1</v>
      </c>
    </row>
    <row r="17" customFormat="false" ht="15" hidden="false" customHeight="true" outlineLevel="0" collapsed="false">
      <c r="A17" s="117" t="s">
        <v>128</v>
      </c>
      <c r="B17" s="215" t="n">
        <v>1</v>
      </c>
      <c r="C17" s="215" t="n">
        <v>1</v>
      </c>
      <c r="D17" s="215" t="n">
        <v>1</v>
      </c>
    </row>
    <row r="18" customFormat="false" ht="15" hidden="false" customHeight="true" outlineLevel="0" collapsed="false">
      <c r="A18" s="117" t="s">
        <v>129</v>
      </c>
      <c r="B18" s="215" t="n">
        <v>2</v>
      </c>
      <c r="C18" s="215" t="n">
        <v>2</v>
      </c>
      <c r="D18" s="215" t="n">
        <v>1</v>
      </c>
    </row>
    <row r="19" customFormat="false" ht="15" hidden="false" customHeight="true" outlineLevel="0" collapsed="false">
      <c r="A19" s="117" t="s">
        <v>130</v>
      </c>
      <c r="B19" s="215" t="n">
        <v>1</v>
      </c>
      <c r="C19" s="215" t="n">
        <v>1</v>
      </c>
      <c r="D19" s="215" t="n">
        <v>1</v>
      </c>
    </row>
    <row r="20" customFormat="false" ht="15" hidden="false" customHeight="true" outlineLevel="0" collapsed="false">
      <c r="A20" s="117" t="s">
        <v>131</v>
      </c>
      <c r="B20" s="215" t="n">
        <v>1</v>
      </c>
      <c r="C20" s="215" t="n">
        <v>1</v>
      </c>
      <c r="D20" s="215" t="n">
        <v>1</v>
      </c>
    </row>
    <row r="21" customFormat="false" ht="15" hidden="false" customHeight="true" outlineLevel="0" collapsed="false">
      <c r="A21" s="115" t="s">
        <v>132</v>
      </c>
      <c r="B21" s="215" t="n">
        <v>1</v>
      </c>
      <c r="C21" s="215" t="n">
        <v>1</v>
      </c>
      <c r="D21" s="215" t="n">
        <v>1</v>
      </c>
    </row>
    <row r="22" customFormat="false" ht="15" hidden="false" customHeight="true" outlineLevel="0" collapsed="false">
      <c r="A22" s="115" t="s">
        <v>133</v>
      </c>
      <c r="B22" s="215" t="n">
        <v>1</v>
      </c>
      <c r="C22" s="215" t="n">
        <v>1</v>
      </c>
      <c r="D22" s="215" t="n">
        <v>1</v>
      </c>
    </row>
    <row r="23" customFormat="false" ht="15" hidden="false" customHeight="true" outlineLevel="0" collapsed="false">
      <c r="A23" s="115" t="s">
        <v>134</v>
      </c>
      <c r="B23" s="215" t="n">
        <v>1</v>
      </c>
      <c r="C23" s="215" t="n">
        <v>1</v>
      </c>
      <c r="D23" s="215" t="n">
        <v>1</v>
      </c>
    </row>
    <row r="24" customFormat="false" ht="15" hidden="false" customHeight="true" outlineLevel="0" collapsed="false">
      <c r="A24" s="115" t="s">
        <v>135</v>
      </c>
      <c r="B24" s="215" t="n">
        <v>1</v>
      </c>
      <c r="C24" s="215" t="n">
        <v>1</v>
      </c>
      <c r="D24" s="215" t="n">
        <v>1</v>
      </c>
    </row>
    <row r="25" customFormat="false" ht="15" hidden="false" customHeight="true" outlineLevel="0" collapsed="false">
      <c r="A25" s="115" t="s">
        <v>136</v>
      </c>
      <c r="B25" s="215" t="n">
        <v>1</v>
      </c>
      <c r="C25" s="215" t="n">
        <v>1</v>
      </c>
      <c r="D25" s="215" t="n">
        <v>1</v>
      </c>
    </row>
    <row r="26" customFormat="false" ht="15" hidden="false" customHeight="true" outlineLevel="0" collapsed="false">
      <c r="A26" s="115" t="s">
        <v>137</v>
      </c>
      <c r="B26" s="215" t="n">
        <v>1</v>
      </c>
      <c r="C26" s="215" t="n">
        <v>1</v>
      </c>
      <c r="D26" s="215" t="n">
        <v>1</v>
      </c>
    </row>
    <row r="27" customFormat="false" ht="15" hidden="false" customHeight="true" outlineLevel="0" collapsed="false">
      <c r="A27" s="115" t="s">
        <v>138</v>
      </c>
      <c r="B27" s="215" t="n">
        <v>1</v>
      </c>
      <c r="C27" s="215" t="n">
        <v>1</v>
      </c>
      <c r="D27" s="215" t="n">
        <v>1</v>
      </c>
    </row>
    <row r="28" customFormat="false" ht="15" hidden="false" customHeight="true" outlineLevel="0" collapsed="false">
      <c r="A28" s="115" t="s">
        <v>139</v>
      </c>
      <c r="B28" s="215" t="n">
        <v>1</v>
      </c>
      <c r="C28" s="215" t="n">
        <v>1</v>
      </c>
      <c r="D28" s="215" t="n">
        <v>1</v>
      </c>
    </row>
    <row r="29" customFormat="false" ht="15" hidden="false" customHeight="true" outlineLevel="0" collapsed="false">
      <c r="A29" s="115" t="s">
        <v>140</v>
      </c>
      <c r="B29" s="215" t="n">
        <v>1</v>
      </c>
      <c r="C29" s="215" t="n">
        <v>1</v>
      </c>
      <c r="D29" s="215" t="n">
        <v>1</v>
      </c>
    </row>
    <row r="30" customFormat="false" ht="15" hidden="false" customHeight="true" outlineLevel="0" collapsed="false">
      <c r="A30" s="115" t="s">
        <v>141</v>
      </c>
      <c r="B30" s="215" t="n">
        <v>1</v>
      </c>
      <c r="C30" s="215" t="n">
        <v>1</v>
      </c>
      <c r="D30" s="215" t="n">
        <v>1</v>
      </c>
    </row>
    <row r="31" customFormat="false" ht="15" hidden="false" customHeight="true" outlineLevel="0" collapsed="false">
      <c r="A31" s="115" t="s">
        <v>142</v>
      </c>
      <c r="B31" s="215" t="n">
        <v>1</v>
      </c>
      <c r="C31" s="215" t="n">
        <v>1</v>
      </c>
      <c r="D31" s="215" t="n">
        <v>1</v>
      </c>
    </row>
    <row r="32" customFormat="false" ht="15" hidden="false" customHeight="true" outlineLevel="0" collapsed="false">
      <c r="A32" s="117" t="s">
        <v>143</v>
      </c>
      <c r="B32" s="215" t="n">
        <v>1</v>
      </c>
      <c r="C32" s="215" t="n">
        <v>1</v>
      </c>
      <c r="D32" s="215" t="n">
        <v>1</v>
      </c>
    </row>
    <row r="33" customFormat="false" ht="15" hidden="false" customHeight="true" outlineLevel="0" collapsed="false">
      <c r="A33" s="117" t="s">
        <v>144</v>
      </c>
      <c r="B33" s="215" t="n">
        <v>1</v>
      </c>
      <c r="C33" s="215" t="n">
        <v>1</v>
      </c>
      <c r="D33" s="215" t="n">
        <v>1</v>
      </c>
    </row>
    <row r="34" customFormat="false" ht="15" hidden="false" customHeight="true" outlineLevel="0" collapsed="false">
      <c r="A34" s="117" t="s">
        <v>145</v>
      </c>
      <c r="B34" s="215" t="n">
        <v>1</v>
      </c>
      <c r="C34" s="215" t="n">
        <v>1</v>
      </c>
      <c r="D34" s="215" t="n">
        <v>1</v>
      </c>
    </row>
    <row r="35" customFormat="false" ht="15" hidden="false" customHeight="true" outlineLevel="0" collapsed="false">
      <c r="A35" s="117" t="s">
        <v>146</v>
      </c>
      <c r="B35" s="215" t="n">
        <v>1</v>
      </c>
      <c r="C35" s="215" t="n">
        <v>1</v>
      </c>
      <c r="D35" s="215" t="n">
        <v>1</v>
      </c>
    </row>
    <row r="36" customFormat="false" ht="15" hidden="false" customHeight="true" outlineLevel="0" collapsed="false">
      <c r="A36" s="117" t="s">
        <v>147</v>
      </c>
      <c r="B36" s="215" t="n">
        <v>1</v>
      </c>
      <c r="C36" s="215" t="n">
        <v>1</v>
      </c>
      <c r="D36" s="215" t="n">
        <v>1</v>
      </c>
    </row>
    <row r="37" customFormat="false" ht="15" hidden="false" customHeight="true" outlineLevel="0" collapsed="false">
      <c r="A37" s="117" t="s">
        <v>148</v>
      </c>
      <c r="B37" s="215" t="n">
        <v>1</v>
      </c>
      <c r="C37" s="215" t="n">
        <v>1</v>
      </c>
      <c r="D37" s="215" t="n">
        <v>1</v>
      </c>
    </row>
    <row r="38" customFormat="false" ht="15" hidden="false" customHeight="true" outlineLevel="0" collapsed="false">
      <c r="A38" s="115" t="s">
        <v>149</v>
      </c>
      <c r="B38" s="215" t="n">
        <v>3</v>
      </c>
      <c r="C38" s="215" t="n">
        <v>3</v>
      </c>
      <c r="D38" s="215" t="n">
        <v>1</v>
      </c>
    </row>
    <row r="39" customFormat="false" ht="15" hidden="false" customHeight="true" outlineLevel="0" collapsed="false">
      <c r="A39" s="115" t="s">
        <v>150</v>
      </c>
      <c r="B39" s="215" t="n">
        <v>1</v>
      </c>
      <c r="C39" s="215" t="n">
        <v>1</v>
      </c>
      <c r="D39" s="215" t="n">
        <v>1</v>
      </c>
    </row>
    <row r="40" customFormat="false" ht="15" hidden="false" customHeight="true" outlineLevel="0" collapsed="false">
      <c r="A40" s="115" t="s">
        <v>151</v>
      </c>
      <c r="B40" s="215" t="n">
        <v>1</v>
      </c>
      <c r="C40" s="215" t="n">
        <v>1</v>
      </c>
      <c r="D40" s="215" t="n">
        <v>1</v>
      </c>
    </row>
    <row r="41" customFormat="false" ht="15" hidden="false" customHeight="true" outlineLevel="0" collapsed="false">
      <c r="A41" s="115" t="s">
        <v>152</v>
      </c>
      <c r="B41" s="215" t="n">
        <v>1</v>
      </c>
      <c r="C41" s="215" t="n">
        <v>1</v>
      </c>
      <c r="D41" s="215" t="n">
        <v>1</v>
      </c>
    </row>
  </sheetData>
  <conditionalFormatting sqref="B2:D41">
    <cfRule type="cellIs" priority="2" operator="equal" aboveAverage="0" equalAverage="0" bottom="0" percent="0" rank="0" text="" dxfId="4">
      <formula>1</formula>
    </cfRule>
    <cfRule type="cellIs" priority="3" operator="equal" aboveAverage="0" equalAverage="0" bottom="0" percent="0" rank="0" text="" dxfId="20">
      <formula>2</formula>
    </cfRule>
    <cfRule type="cellIs" priority="4" operator="equal" aboveAverage="0" equalAverage="0" bottom="0" percent="0" rank="0" text="" dxfId="7">
      <formula>3</formula>
    </cfRule>
    <cfRule type="cellIs" priority="5" operator="equal" aboveAverage="0" equalAverage="0" bottom="0" percent="0" rank="0" text="" dxfId="21">
      <formula>4</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P6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E9" activeCellId="0" sqref="E9"/>
    </sheetView>
  </sheetViews>
  <sheetFormatPr defaultColWidth="8.859375" defaultRowHeight="15" zeroHeight="false" outlineLevelRow="0" outlineLevelCol="0"/>
  <cols>
    <col collapsed="false" customWidth="true" hidden="false" outlineLevel="0" max="1" min="1" style="0" width="12.29"/>
    <col collapsed="false" customWidth="true" hidden="false" outlineLevel="0" max="2" min="2" style="0" width="9.42"/>
    <col collapsed="false" customWidth="true" hidden="false" outlineLevel="0" max="3" min="3" style="0" width="10.14"/>
    <col collapsed="false" customWidth="true" hidden="false" outlineLevel="0" max="4" min="4" style="0" width="11.43"/>
    <col collapsed="false" customWidth="true" hidden="false" outlineLevel="0" max="5" min="5" style="0" width="28.86"/>
    <col collapsed="false" customWidth="true" hidden="false" outlineLevel="0" max="6" min="6" style="0" width="25.14"/>
    <col collapsed="false" customWidth="true" hidden="false" outlineLevel="0" max="7" min="7" style="0" width="17.57"/>
  </cols>
  <sheetData>
    <row r="1" s="25" customFormat="true" ht="29.25" hidden="false" customHeight="true" outlineLevel="0" collapsed="false">
      <c r="A1" s="79" t="s">
        <v>387</v>
      </c>
      <c r="B1" s="79"/>
      <c r="C1" s="79"/>
      <c r="D1" s="79"/>
      <c r="E1" s="79"/>
      <c r="F1" s="79"/>
      <c r="G1" s="79" t="s">
        <v>387</v>
      </c>
      <c r="H1" s="79"/>
      <c r="I1" s="79"/>
      <c r="J1" s="79"/>
      <c r="K1" s="79"/>
      <c r="L1" s="79"/>
      <c r="M1" s="79"/>
      <c r="N1" s="79"/>
      <c r="O1" s="79"/>
      <c r="P1" s="79"/>
    </row>
    <row r="2" customFormat="false" ht="12" hidden="false" customHeight="true" outlineLevel="0" collapsed="false"/>
    <row r="3" customFormat="false" ht="21" hidden="false" customHeight="true" outlineLevel="0" collapsed="false">
      <c r="A3" s="82" t="s">
        <v>388</v>
      </c>
      <c r="B3" s="82"/>
      <c r="C3" s="82"/>
      <c r="D3" s="82"/>
      <c r="E3" s="82"/>
      <c r="F3" s="82"/>
      <c r="G3" s="82" t="s">
        <v>388</v>
      </c>
      <c r="H3" s="82"/>
      <c r="I3" s="82"/>
      <c r="J3" s="82"/>
      <c r="K3" s="82"/>
      <c r="L3" s="82"/>
      <c r="M3" s="82"/>
      <c r="N3" s="82"/>
      <c r="O3" s="82"/>
      <c r="P3" s="82"/>
    </row>
    <row r="4" customFormat="false" ht="21" hidden="false" customHeight="true" outlineLevel="0" collapsed="false"/>
    <row r="5" customFormat="false" ht="22.5" hidden="false" customHeight="true" outlineLevel="0" collapsed="false">
      <c r="A5" s="184" t="s">
        <v>94</v>
      </c>
      <c r="B5" s="185" t="s">
        <v>367</v>
      </c>
      <c r="C5" s="185"/>
      <c r="D5" s="185" t="s">
        <v>96</v>
      </c>
      <c r="H5" s="187" t="s">
        <v>368</v>
      </c>
      <c r="I5" s="187"/>
      <c r="J5" s="187"/>
      <c r="K5" s="187"/>
      <c r="L5" s="187"/>
    </row>
    <row r="6" customFormat="false" ht="22.5" hidden="false" customHeight="true" outlineLevel="0" collapsed="false">
      <c r="A6" s="189" t="s">
        <v>389</v>
      </c>
      <c r="B6" s="209" t="n">
        <v>0.2</v>
      </c>
      <c r="C6" s="209"/>
      <c r="D6" s="191" t="n">
        <v>0.15</v>
      </c>
    </row>
    <row r="7" s="84" customFormat="true" ht="22.5" hidden="false" customHeight="true" outlineLevel="0" collapsed="false">
      <c r="A7" s="189" t="s">
        <v>390</v>
      </c>
      <c r="B7" s="209" t="n">
        <v>0.05</v>
      </c>
      <c r="C7" s="209"/>
      <c r="D7" s="191" t="n">
        <v>0.1</v>
      </c>
    </row>
    <row r="8" s="84" customFormat="true" ht="22.5" hidden="false" customHeight="true" outlineLevel="0" collapsed="false">
      <c r="A8" s="189" t="s">
        <v>391</v>
      </c>
      <c r="B8" s="210" t="n">
        <v>0.75</v>
      </c>
      <c r="C8" s="210"/>
      <c r="D8" s="193" t="n">
        <v>0.75</v>
      </c>
    </row>
    <row r="9" customFormat="false" ht="15" hidden="false" customHeight="false" outlineLevel="0" collapsed="false">
      <c r="A9" s="212"/>
      <c r="B9" s="212"/>
      <c r="C9" s="212"/>
      <c r="D9" s="212"/>
    </row>
    <row r="10" customFormat="false" ht="15" hidden="false" customHeight="false" outlineLevel="0" collapsed="false">
      <c r="D10" s="57"/>
    </row>
    <row r="11" customFormat="false" ht="15" hidden="false" customHeight="false" outlineLevel="0" collapsed="false">
      <c r="D11" s="57"/>
    </row>
    <row r="12" customFormat="false" ht="15.75" hidden="false" customHeight="true" outlineLevel="0" collapsed="false">
      <c r="E12" s="39"/>
      <c r="F12" s="39"/>
    </row>
    <row r="13" s="95" customFormat="true" ht="15" hidden="false" customHeight="false" outlineLevel="0" collapsed="false"/>
    <row r="14" s="95" customFormat="true" ht="15" hidden="false" customHeight="false" outlineLevel="0" collapsed="false"/>
    <row r="15" s="95" customFormat="true" ht="15" hidden="false" customHeight="false" outlineLevel="0" collapsed="false"/>
    <row r="16" s="95" customFormat="true" ht="12.75" hidden="false" customHeight="true" outlineLevel="0" collapsed="false">
      <c r="E16" s="126"/>
      <c r="F16" s="127"/>
    </row>
    <row r="17" s="95" customFormat="true" ht="222" hidden="false" customHeight="true" outlineLevel="0" collapsed="false">
      <c r="E17" s="126"/>
      <c r="F17" s="127"/>
    </row>
    <row r="18" s="95" customFormat="true" ht="94.5" hidden="false" customHeight="true" outlineLevel="0" collapsed="false">
      <c r="E18" s="126"/>
      <c r="F18" s="127"/>
    </row>
    <row r="19" s="95" customFormat="true" ht="12.75" hidden="false" customHeight="true" outlineLevel="0" collapsed="false">
      <c r="E19" s="126"/>
      <c r="F19" s="127"/>
    </row>
    <row r="20" s="95" customFormat="true" ht="12.75" hidden="false" customHeight="true" outlineLevel="0" collapsed="false">
      <c r="E20" s="126"/>
      <c r="F20" s="127"/>
    </row>
    <row r="21" s="95" customFormat="true" ht="12.75" hidden="false" customHeight="true" outlineLevel="0" collapsed="false">
      <c r="E21" s="126"/>
      <c r="F21" s="127"/>
    </row>
    <row r="22" s="95" customFormat="true" ht="12.75" hidden="false" customHeight="true" outlineLevel="0" collapsed="false">
      <c r="E22" s="126"/>
      <c r="F22" s="127"/>
    </row>
    <row r="23" s="95" customFormat="true" ht="12.75" hidden="false" customHeight="true" outlineLevel="0" collapsed="false">
      <c r="E23" s="126"/>
      <c r="F23" s="127"/>
    </row>
    <row r="24" s="84" customFormat="true" ht="24" hidden="false" customHeight="true" outlineLevel="0" collapsed="false">
      <c r="A24" s="99" t="s">
        <v>104</v>
      </c>
      <c r="B24" s="99"/>
      <c r="C24" s="99"/>
      <c r="D24" s="99"/>
      <c r="E24" s="99"/>
      <c r="F24" s="99"/>
      <c r="G24" s="99" t="s">
        <v>104</v>
      </c>
      <c r="H24" s="99"/>
      <c r="I24" s="99"/>
      <c r="J24" s="99"/>
      <c r="K24" s="99"/>
      <c r="L24" s="99"/>
      <c r="M24" s="99"/>
      <c r="N24" s="99"/>
      <c r="O24" s="99"/>
      <c r="P24" s="99"/>
    </row>
    <row r="25" customFormat="false" ht="9" hidden="false" customHeight="true" outlineLevel="0" collapsed="false"/>
    <row r="26" s="84" customFormat="true" ht="39.75" hidden="false" customHeight="true" outlineLevel="0" collapsed="false">
      <c r="A26" s="194" t="s">
        <v>169</v>
      </c>
      <c r="B26" s="194"/>
      <c r="C26" s="194"/>
      <c r="D26" s="194"/>
    </row>
    <row r="27" s="84" customFormat="true" ht="44.25" hidden="false" customHeight="true" outlineLevel="0" collapsed="false">
      <c r="A27" s="104" t="s">
        <v>106</v>
      </c>
      <c r="B27" s="105" t="s">
        <v>107</v>
      </c>
      <c r="C27" s="105" t="s">
        <v>108</v>
      </c>
      <c r="D27" s="105" t="s">
        <v>109</v>
      </c>
    </row>
    <row r="28" customFormat="false" ht="15" hidden="false" customHeight="false" outlineLevel="0" collapsed="false">
      <c r="A28" s="129" t="s">
        <v>113</v>
      </c>
      <c r="B28" s="195" t="n">
        <f aca="false" t="array" ref="B28:B67">MMULT(DF9map!B2:D41,DF9!B6:B8)</f>
        <v>1</v>
      </c>
      <c r="C28" s="195" t="n">
        <f aca="false" t="array" ref="C28:C67">MMULT(DF9map!B2:D41,DF9!D6:D8)</f>
        <v>1</v>
      </c>
      <c r="D28" s="132" t="n">
        <f aca="false">IFERROR(MROUND((100*B28/C28),5)-100,0)</f>
        <v>0</v>
      </c>
    </row>
    <row r="29" customFormat="false" ht="15" hidden="false" customHeight="false" outlineLevel="0" collapsed="false">
      <c r="A29" s="129" t="s">
        <v>114</v>
      </c>
      <c r="B29" s="195" t="n">
        <v>1</v>
      </c>
      <c r="C29" s="195" t="n">
        <v>1</v>
      </c>
      <c r="D29" s="132" t="n">
        <f aca="false">IFERROR(MROUND((100*B29/C29),5)-100,0)</f>
        <v>0</v>
      </c>
      <c r="I29" s="36"/>
    </row>
    <row r="30" customFormat="false" ht="15" hidden="false" customHeight="false" outlineLevel="0" collapsed="false">
      <c r="A30" s="129" t="s">
        <v>115</v>
      </c>
      <c r="B30" s="195" t="n">
        <v>1</v>
      </c>
      <c r="C30" s="195" t="n">
        <v>1</v>
      </c>
      <c r="D30" s="132" t="n">
        <f aca="false">IFERROR(MROUND((100*B30/C30),5)-100,0)</f>
        <v>0</v>
      </c>
    </row>
    <row r="31" customFormat="false" ht="15" hidden="false" customHeight="false" outlineLevel="0" collapsed="false">
      <c r="A31" s="129" t="s">
        <v>116</v>
      </c>
      <c r="B31" s="195" t="n">
        <v>1</v>
      </c>
      <c r="C31" s="195" t="n">
        <v>1</v>
      </c>
      <c r="D31" s="132" t="n">
        <f aca="false">IFERROR(MROUND((100*B31/C31),5)-100,0)</f>
        <v>0</v>
      </c>
    </row>
    <row r="32" customFormat="false" ht="15" hidden="false" customHeight="false" outlineLevel="0" collapsed="false">
      <c r="A32" s="129" t="s">
        <v>117</v>
      </c>
      <c r="B32" s="195" t="n">
        <v>1</v>
      </c>
      <c r="C32" s="195" t="n">
        <v>1</v>
      </c>
      <c r="D32" s="132" t="n">
        <f aca="false">IFERROR(MROUND((100*B32/C32),5)-100,0)</f>
        <v>0</v>
      </c>
    </row>
    <row r="33" customFormat="false" ht="15" hidden="false" customHeight="false" outlineLevel="0" collapsed="false">
      <c r="A33" s="133" t="s">
        <v>118</v>
      </c>
      <c r="B33" s="195" t="n">
        <v>1</v>
      </c>
      <c r="C33" s="195" t="n">
        <v>1</v>
      </c>
      <c r="D33" s="132" t="n">
        <f aca="false">IFERROR(MROUND((100*B33/C33),5)-100,0)</f>
        <v>0</v>
      </c>
    </row>
    <row r="34" customFormat="false" ht="15" hidden="false" customHeight="false" outlineLevel="0" collapsed="false">
      <c r="A34" s="133" t="s">
        <v>119</v>
      </c>
      <c r="B34" s="195" t="n">
        <v>1</v>
      </c>
      <c r="C34" s="195" t="n">
        <v>1</v>
      </c>
      <c r="D34" s="132" t="n">
        <f aca="false">IFERROR(MROUND((100*B34/C34),5)-100,0)</f>
        <v>0</v>
      </c>
    </row>
    <row r="35" customFormat="false" ht="15" hidden="false" customHeight="false" outlineLevel="0" collapsed="false">
      <c r="A35" s="133" t="s">
        <v>120</v>
      </c>
      <c r="B35" s="195" t="n">
        <v>1.05</v>
      </c>
      <c r="C35" s="195" t="n">
        <v>1.1</v>
      </c>
      <c r="D35" s="132" t="n">
        <f aca="false">IFERROR(MROUND((100*B35/C35),5)-100,0)</f>
        <v>-5</v>
      </c>
    </row>
    <row r="36" customFormat="false" ht="15" hidden="false" customHeight="false" outlineLevel="0" collapsed="false">
      <c r="A36" s="133" t="s">
        <v>121</v>
      </c>
      <c r="B36" s="195" t="n">
        <v>1</v>
      </c>
      <c r="C36" s="195" t="n">
        <v>1</v>
      </c>
      <c r="D36" s="132" t="n">
        <f aca="false">IFERROR(MROUND((100*B36/C36),5)-100,0)</f>
        <v>0</v>
      </c>
    </row>
    <row r="37" customFormat="false" ht="15" hidden="false" customHeight="false" outlineLevel="0" collapsed="false">
      <c r="A37" s="133" t="s">
        <v>122</v>
      </c>
      <c r="B37" s="195" t="n">
        <v>1</v>
      </c>
      <c r="C37" s="195" t="n">
        <v>1</v>
      </c>
      <c r="D37" s="132" t="n">
        <f aca="false">IFERROR(MROUND((100*B37/C37),5)-100,0)</f>
        <v>0</v>
      </c>
    </row>
    <row r="38" customFormat="false" ht="15" hidden="false" customHeight="false" outlineLevel="0" collapsed="false">
      <c r="A38" s="133" t="s">
        <v>123</v>
      </c>
      <c r="B38" s="195" t="n">
        <v>1</v>
      </c>
      <c r="C38" s="195" t="n">
        <v>1</v>
      </c>
      <c r="D38" s="132" t="n">
        <f aca="false">IFERROR(MROUND((100*B38/C38),5)-100,0)</f>
        <v>0</v>
      </c>
    </row>
    <row r="39" customFormat="false" ht="15" hidden="false" customHeight="false" outlineLevel="0" collapsed="false">
      <c r="A39" s="133" t="s">
        <v>124</v>
      </c>
      <c r="B39" s="195" t="n">
        <v>1.025</v>
      </c>
      <c r="C39" s="195" t="n">
        <v>1.05</v>
      </c>
      <c r="D39" s="132" t="n">
        <f aca="false">IFERROR(MROUND((100*B39/C39),5)-100,0)</f>
        <v>0</v>
      </c>
    </row>
    <row r="40" customFormat="false" ht="15" hidden="false" customHeight="false" outlineLevel="0" collapsed="false">
      <c r="A40" s="133" t="s">
        <v>125</v>
      </c>
      <c r="B40" s="195" t="n">
        <v>1</v>
      </c>
      <c r="C40" s="195" t="n">
        <v>1</v>
      </c>
      <c r="D40" s="132" t="n">
        <f aca="false">IFERROR(MROUND((100*B40/C40),5)-100,0)</f>
        <v>0</v>
      </c>
    </row>
    <row r="41" customFormat="false" ht="15" hidden="false" customHeight="false" outlineLevel="0" collapsed="false">
      <c r="A41" s="133" t="s">
        <v>126</v>
      </c>
      <c r="B41" s="195" t="n">
        <v>1</v>
      </c>
      <c r="C41" s="195" t="n">
        <v>1</v>
      </c>
      <c r="D41" s="132" t="n">
        <f aca="false">IFERROR(MROUND((100*B41/C41),5)-100,0)</f>
        <v>0</v>
      </c>
    </row>
    <row r="42" customFormat="false" ht="15" hidden="false" customHeight="false" outlineLevel="0" collapsed="false">
      <c r="A42" s="133" t="s">
        <v>127</v>
      </c>
      <c r="B42" s="195" t="n">
        <v>1</v>
      </c>
      <c r="C42" s="195" t="n">
        <v>1</v>
      </c>
      <c r="D42" s="132" t="n">
        <f aca="false">IFERROR(MROUND((100*B42/C42),5)-100,0)</f>
        <v>0</v>
      </c>
    </row>
    <row r="43" customFormat="false" ht="15" hidden="false" customHeight="false" outlineLevel="0" collapsed="false">
      <c r="A43" s="133" t="s">
        <v>128</v>
      </c>
      <c r="B43" s="195" t="n">
        <v>1</v>
      </c>
      <c r="C43" s="195" t="n">
        <v>1</v>
      </c>
      <c r="D43" s="132" t="n">
        <f aca="false">IFERROR(MROUND((100*B43/C43),5)-100,0)</f>
        <v>0</v>
      </c>
    </row>
    <row r="44" customFormat="false" ht="15" hidden="false" customHeight="false" outlineLevel="0" collapsed="false">
      <c r="A44" s="133" t="s">
        <v>129</v>
      </c>
      <c r="B44" s="195" t="n">
        <v>1.025</v>
      </c>
      <c r="C44" s="195" t="n">
        <v>1.05</v>
      </c>
      <c r="D44" s="132" t="n">
        <f aca="false">IFERROR(MROUND((100*B44/C44),5)-100,0)</f>
        <v>0</v>
      </c>
    </row>
    <row r="45" customFormat="false" ht="15" hidden="false" customHeight="false" outlineLevel="0" collapsed="false">
      <c r="A45" s="133" t="s">
        <v>130</v>
      </c>
      <c r="B45" s="195" t="n">
        <v>1</v>
      </c>
      <c r="C45" s="195" t="n">
        <v>1</v>
      </c>
      <c r="D45" s="132" t="n">
        <f aca="false">IFERROR(MROUND((100*B45/C45),5)-100,0)</f>
        <v>0</v>
      </c>
    </row>
    <row r="46" customFormat="false" ht="15" hidden="false" customHeight="false" outlineLevel="0" collapsed="false">
      <c r="A46" s="133" t="s">
        <v>131</v>
      </c>
      <c r="B46" s="195" t="n">
        <v>1</v>
      </c>
      <c r="C46" s="195" t="n">
        <v>1</v>
      </c>
      <c r="D46" s="132" t="n">
        <f aca="false">IFERROR(MROUND((100*B46/C46),5)-100,0)</f>
        <v>0</v>
      </c>
    </row>
    <row r="47" customFormat="false" ht="15" hidden="false" customHeight="false" outlineLevel="0" collapsed="false">
      <c r="A47" s="129" t="s">
        <v>170</v>
      </c>
      <c r="B47" s="195" t="n">
        <v>1.225</v>
      </c>
      <c r="C47" s="195" t="n">
        <v>1.2</v>
      </c>
      <c r="D47" s="132" t="n">
        <f aca="false">IFERROR(MROUND((100*B47/C47),5)-100,0)</f>
        <v>0</v>
      </c>
    </row>
    <row r="48" customFormat="false" ht="15" hidden="false" customHeight="false" outlineLevel="0" collapsed="false">
      <c r="A48" s="129" t="s">
        <v>133</v>
      </c>
      <c r="B48" s="195" t="n">
        <v>1.55</v>
      </c>
      <c r="C48" s="195" t="n">
        <v>1.475</v>
      </c>
      <c r="D48" s="132" t="n">
        <f aca="false">IFERROR(MROUND((100*B48/C48),5)-100,0)</f>
        <v>5</v>
      </c>
    </row>
    <row r="49" customFormat="false" ht="15" hidden="false" customHeight="false" outlineLevel="0" collapsed="false">
      <c r="A49" s="129" t="s">
        <v>134</v>
      </c>
      <c r="B49" s="195" t="n">
        <v>1.7</v>
      </c>
      <c r="C49" s="195" t="n">
        <v>1.65</v>
      </c>
      <c r="D49" s="132" t="n">
        <f aca="false">IFERROR(MROUND((100*B49/C49),5)-100,0)</f>
        <v>5</v>
      </c>
    </row>
    <row r="50" customFormat="false" ht="15" hidden="false" customHeight="false" outlineLevel="0" collapsed="false">
      <c r="A50" s="129" t="s">
        <v>135</v>
      </c>
      <c r="B50" s="195" t="n">
        <v>1</v>
      </c>
      <c r="C50" s="195" t="n">
        <v>1</v>
      </c>
      <c r="D50" s="132" t="n">
        <f aca="false">IFERROR(MROUND((100*B50/C50),5)-100,0)</f>
        <v>0</v>
      </c>
    </row>
    <row r="51" customFormat="false" ht="15" hidden="false" customHeight="false" outlineLevel="0" collapsed="false">
      <c r="A51" s="129" t="s">
        <v>136</v>
      </c>
      <c r="B51" s="195" t="n">
        <v>1.325</v>
      </c>
      <c r="C51" s="195" t="n">
        <v>1.275</v>
      </c>
      <c r="D51" s="132" t="n">
        <f aca="false">IFERROR(MROUND((100*B51/C51),5)-100,0)</f>
        <v>5</v>
      </c>
    </row>
    <row r="52" customFormat="false" ht="15" hidden="false" customHeight="false" outlineLevel="0" collapsed="false">
      <c r="A52" s="129" t="s">
        <v>137</v>
      </c>
      <c r="B52" s="195" t="n">
        <v>1.55</v>
      </c>
      <c r="C52" s="195" t="n">
        <v>1.475</v>
      </c>
      <c r="D52" s="132" t="n">
        <f aca="false">IFERROR(MROUND((100*B52/C52),5)-100,0)</f>
        <v>5</v>
      </c>
    </row>
    <row r="53" customFormat="false" ht="15" hidden="false" customHeight="false" outlineLevel="0" collapsed="false">
      <c r="A53" s="129" t="s">
        <v>138</v>
      </c>
      <c r="B53" s="195" t="n">
        <v>1.375</v>
      </c>
      <c r="C53" s="195" t="n">
        <v>1.375</v>
      </c>
      <c r="D53" s="132" t="n">
        <f aca="false">IFERROR(MROUND((100*B53/C53),5)-100,0)</f>
        <v>0</v>
      </c>
    </row>
    <row r="54" customFormat="false" ht="15" hidden="false" customHeight="false" outlineLevel="0" collapsed="false">
      <c r="A54" s="129" t="s">
        <v>139</v>
      </c>
      <c r="B54" s="195" t="n">
        <v>1</v>
      </c>
      <c r="C54" s="195" t="n">
        <v>1</v>
      </c>
      <c r="D54" s="132" t="n">
        <f aca="false">IFERROR(MROUND((100*B54/C54),5)-100,0)</f>
        <v>0</v>
      </c>
    </row>
    <row r="55" customFormat="false" ht="15" hidden="false" customHeight="false" outlineLevel="0" collapsed="false">
      <c r="A55" s="129" t="s">
        <v>140</v>
      </c>
      <c r="B55" s="195" t="n">
        <v>1</v>
      </c>
      <c r="C55" s="195" t="n">
        <v>1</v>
      </c>
      <c r="D55" s="132" t="n">
        <f aca="false">IFERROR(MROUND((100*B55/C55),5)-100,0)</f>
        <v>0</v>
      </c>
    </row>
    <row r="56" customFormat="false" ht="15" hidden="false" customHeight="false" outlineLevel="0" collapsed="false">
      <c r="A56" s="129" t="s">
        <v>141</v>
      </c>
      <c r="B56" s="195" t="n">
        <v>1.15</v>
      </c>
      <c r="C56" s="195" t="n">
        <v>1.175</v>
      </c>
      <c r="D56" s="132" t="n">
        <f aca="false">IFERROR(MROUND((100*B56/C56),5)-100,0)</f>
        <v>0</v>
      </c>
    </row>
    <row r="57" customFormat="false" ht="15" hidden="false" customHeight="false" outlineLevel="0" collapsed="false">
      <c r="A57" s="129" t="s">
        <v>142</v>
      </c>
      <c r="B57" s="195" t="n">
        <v>1.3</v>
      </c>
      <c r="C57" s="195" t="n">
        <v>1.225</v>
      </c>
      <c r="D57" s="132" t="n">
        <f aca="false">IFERROR(MROUND((100*B57/C57),5)-100,0)</f>
        <v>5</v>
      </c>
    </row>
    <row r="58" customFormat="false" ht="15" hidden="false" customHeight="false" outlineLevel="0" collapsed="false">
      <c r="A58" s="133" t="s">
        <v>143</v>
      </c>
      <c r="B58" s="195" t="n">
        <v>1.075</v>
      </c>
      <c r="C58" s="195" t="n">
        <v>1.15</v>
      </c>
      <c r="D58" s="132" t="n">
        <f aca="false">IFERROR(MROUND((100*B58/C58),5)-100,0)</f>
        <v>-5</v>
      </c>
    </row>
    <row r="59" customFormat="false" ht="15" hidden="false" customHeight="false" outlineLevel="0" collapsed="false">
      <c r="A59" s="133" t="s">
        <v>144</v>
      </c>
      <c r="B59" s="195" t="n">
        <v>1.025</v>
      </c>
      <c r="C59" s="195" t="n">
        <v>1.05</v>
      </c>
      <c r="D59" s="132" t="n">
        <f aca="false">IFERROR(MROUND((100*B59/C59),5)-100,0)</f>
        <v>0</v>
      </c>
    </row>
    <row r="60" customFormat="false" ht="15" hidden="false" customHeight="false" outlineLevel="0" collapsed="false">
      <c r="A60" s="133" t="s">
        <v>145</v>
      </c>
      <c r="B60" s="195" t="n">
        <v>1.025</v>
      </c>
      <c r="C60" s="195" t="n">
        <v>1.05</v>
      </c>
      <c r="D60" s="132" t="n">
        <f aca="false">IFERROR(MROUND((100*B60/C60),5)-100,0)</f>
        <v>0</v>
      </c>
    </row>
    <row r="61" customFormat="false" ht="15" hidden="false" customHeight="false" outlineLevel="0" collapsed="false">
      <c r="A61" s="133" t="s">
        <v>146</v>
      </c>
      <c r="B61" s="195" t="n">
        <v>1</v>
      </c>
      <c r="C61" s="195" t="n">
        <v>1</v>
      </c>
      <c r="D61" s="132" t="n">
        <f aca="false">IFERROR(MROUND((100*B61/C61),5)-100,0)</f>
        <v>0</v>
      </c>
    </row>
    <row r="62" customFormat="false" ht="15" hidden="false" customHeight="false" outlineLevel="0" collapsed="false">
      <c r="A62" s="133" t="s">
        <v>147</v>
      </c>
      <c r="B62" s="195" t="n">
        <v>1</v>
      </c>
      <c r="C62" s="195" t="n">
        <v>1</v>
      </c>
      <c r="D62" s="132" t="n">
        <f aca="false">IFERROR(MROUND((100*B62/C62),5)-100,0)</f>
        <v>0</v>
      </c>
    </row>
    <row r="63" customFormat="false" ht="15" hidden="false" customHeight="false" outlineLevel="0" collapsed="false">
      <c r="A63" s="133" t="s">
        <v>148</v>
      </c>
      <c r="B63" s="195" t="n">
        <v>1</v>
      </c>
      <c r="C63" s="195" t="n">
        <v>1</v>
      </c>
      <c r="D63" s="132" t="n">
        <f aca="false">IFERROR(MROUND((100*B63/C63),5)-100,0)</f>
        <v>0</v>
      </c>
    </row>
    <row r="64" customFormat="false" ht="15" hidden="false" customHeight="false" outlineLevel="0" collapsed="false">
      <c r="A64" s="129" t="s">
        <v>149</v>
      </c>
      <c r="B64" s="195" t="n">
        <v>1.125</v>
      </c>
      <c r="C64" s="195" t="n">
        <v>1.125</v>
      </c>
      <c r="D64" s="132" t="n">
        <f aca="false">IFERROR(MROUND((100*B64/C64),5)-100,0)</f>
        <v>0</v>
      </c>
    </row>
    <row r="65" customFormat="false" ht="15" hidden="false" customHeight="false" outlineLevel="0" collapsed="false">
      <c r="A65" s="129" t="s">
        <v>150</v>
      </c>
      <c r="B65" s="195" t="n">
        <v>1</v>
      </c>
      <c r="C65" s="195" t="n">
        <v>1</v>
      </c>
      <c r="D65" s="132" t="n">
        <f aca="false">IFERROR(MROUND((100*B65/C65),5)-100,0)</f>
        <v>0</v>
      </c>
    </row>
    <row r="66" customFormat="false" ht="15" hidden="false" customHeight="false" outlineLevel="0" collapsed="false">
      <c r="A66" s="129" t="s">
        <v>151</v>
      </c>
      <c r="B66" s="195" t="n">
        <v>1</v>
      </c>
      <c r="C66" s="195" t="n">
        <v>1</v>
      </c>
      <c r="D66" s="132" t="n">
        <f aca="false">IFERROR(MROUND((100*B66/C66),5)-100,0)</f>
        <v>0</v>
      </c>
    </row>
    <row r="67" customFormat="false" ht="15" hidden="false" customHeight="false" outlineLevel="0" collapsed="false">
      <c r="A67" s="129" t="s">
        <v>152</v>
      </c>
      <c r="B67" s="195" t="n">
        <v>1</v>
      </c>
      <c r="C67" s="195" t="n">
        <v>1</v>
      </c>
      <c r="D67" s="132" t="n">
        <f aca="false">IFERROR(MROUND((100*B67/C67),5)-100,0)</f>
        <v>0</v>
      </c>
    </row>
  </sheetData>
  <mergeCells count="12">
    <mergeCell ref="A1:F1"/>
    <mergeCell ref="G1:P1"/>
    <mergeCell ref="A3:F3"/>
    <mergeCell ref="G3:P3"/>
    <mergeCell ref="B5:C5"/>
    <mergeCell ref="H5:L5"/>
    <mergeCell ref="B6:C6"/>
    <mergeCell ref="B7:C7"/>
    <mergeCell ref="B8:C8"/>
    <mergeCell ref="A24:F24"/>
    <mergeCell ref="G24:P24"/>
    <mergeCell ref="A26:D26"/>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22" man="true" max="16383" min="0"/>
  </rowBreaks>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D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21" activeCellId="0" sqref="B21"/>
    </sheetView>
  </sheetViews>
  <sheetFormatPr defaultColWidth="8.859375" defaultRowHeight="15.75" zeroHeight="false" outlineLevelRow="0" outlineLevelCol="0"/>
  <cols>
    <col collapsed="false" customWidth="true" hidden="false" outlineLevel="0" max="1" min="1" style="39" width="8.71"/>
    <col collapsed="false" customWidth="true" hidden="false" outlineLevel="0" max="4" min="2" style="214" width="13.86"/>
  </cols>
  <sheetData>
    <row r="1" customFormat="false" ht="21" hidden="false" customHeight="true" outlineLevel="0" collapsed="false">
      <c r="A1" s="176" t="s">
        <v>24</v>
      </c>
      <c r="B1" s="52" t="s">
        <v>389</v>
      </c>
      <c r="C1" s="52" t="s">
        <v>390</v>
      </c>
      <c r="D1" s="52" t="s">
        <v>391</v>
      </c>
    </row>
    <row r="2" customFormat="false" ht="15" hidden="false" customHeight="true" outlineLevel="0" collapsed="false">
      <c r="A2" s="115" t="s">
        <v>113</v>
      </c>
      <c r="B2" s="196" t="n">
        <v>1</v>
      </c>
      <c r="C2" s="196" t="n">
        <v>1</v>
      </c>
      <c r="D2" s="196" t="n">
        <v>1</v>
      </c>
    </row>
    <row r="3" customFormat="false" ht="15" hidden="false" customHeight="true" outlineLevel="0" collapsed="false">
      <c r="A3" s="115" t="s">
        <v>114</v>
      </c>
      <c r="B3" s="196" t="n">
        <v>1</v>
      </c>
      <c r="C3" s="196" t="n">
        <v>1</v>
      </c>
      <c r="D3" s="196" t="n">
        <v>1</v>
      </c>
    </row>
    <row r="4" customFormat="false" ht="15" hidden="false" customHeight="true" outlineLevel="0" collapsed="false">
      <c r="A4" s="115" t="s">
        <v>115</v>
      </c>
      <c r="B4" s="196" t="n">
        <v>1</v>
      </c>
      <c r="C4" s="196" t="n">
        <v>1</v>
      </c>
      <c r="D4" s="196" t="n">
        <v>1</v>
      </c>
    </row>
    <row r="5" customFormat="false" ht="15" hidden="false" customHeight="true" outlineLevel="0" collapsed="false">
      <c r="A5" s="115" t="s">
        <v>116</v>
      </c>
      <c r="B5" s="196" t="n">
        <v>1</v>
      </c>
      <c r="C5" s="196" t="n">
        <v>1</v>
      </c>
      <c r="D5" s="196" t="n">
        <v>1</v>
      </c>
    </row>
    <row r="6" customFormat="false" ht="15" hidden="false" customHeight="true" outlineLevel="0" collapsed="false">
      <c r="A6" s="115" t="s">
        <v>117</v>
      </c>
      <c r="B6" s="196" t="n">
        <v>1</v>
      </c>
      <c r="C6" s="196" t="n">
        <v>1</v>
      </c>
      <c r="D6" s="196" t="n">
        <v>1</v>
      </c>
    </row>
    <row r="7" customFormat="false" ht="15" hidden="false" customHeight="true" outlineLevel="0" collapsed="false">
      <c r="A7" s="117" t="s">
        <v>118</v>
      </c>
      <c r="B7" s="196" t="n">
        <v>1</v>
      </c>
      <c r="C7" s="196" t="n">
        <v>1</v>
      </c>
      <c r="D7" s="196" t="n">
        <v>1</v>
      </c>
    </row>
    <row r="8" customFormat="false" ht="15" hidden="false" customHeight="true" outlineLevel="0" collapsed="false">
      <c r="A8" s="117" t="s">
        <v>119</v>
      </c>
      <c r="B8" s="196" t="n">
        <v>1</v>
      </c>
      <c r="C8" s="196" t="n">
        <v>1</v>
      </c>
      <c r="D8" s="196" t="n">
        <v>1</v>
      </c>
    </row>
    <row r="9" customFormat="false" ht="15" hidden="false" customHeight="true" outlineLevel="0" collapsed="false">
      <c r="A9" s="117" t="s">
        <v>120</v>
      </c>
      <c r="B9" s="196" t="n">
        <v>1</v>
      </c>
      <c r="C9" s="196" t="n">
        <v>2</v>
      </c>
      <c r="D9" s="196" t="n">
        <v>1</v>
      </c>
    </row>
    <row r="10" customFormat="false" ht="15" hidden="false" customHeight="true" outlineLevel="0" collapsed="false">
      <c r="A10" s="117" t="s">
        <v>121</v>
      </c>
      <c r="B10" s="196" t="n">
        <v>1</v>
      </c>
      <c r="C10" s="196" t="n">
        <v>1</v>
      </c>
      <c r="D10" s="196" t="n">
        <v>1</v>
      </c>
    </row>
    <row r="11" customFormat="false" ht="15" hidden="false" customHeight="true" outlineLevel="0" collapsed="false">
      <c r="A11" s="117" t="s">
        <v>122</v>
      </c>
      <c r="B11" s="196" t="n">
        <v>1</v>
      </c>
      <c r="C11" s="196" t="n">
        <v>1</v>
      </c>
      <c r="D11" s="196" t="n">
        <v>1</v>
      </c>
    </row>
    <row r="12" customFormat="false" ht="15" hidden="false" customHeight="true" outlineLevel="0" collapsed="false">
      <c r="A12" s="117" t="s">
        <v>123</v>
      </c>
      <c r="B12" s="196" t="n">
        <v>1</v>
      </c>
      <c r="C12" s="196" t="n">
        <v>1</v>
      </c>
      <c r="D12" s="196" t="n">
        <v>1</v>
      </c>
    </row>
    <row r="13" customFormat="false" ht="15" hidden="false" customHeight="true" outlineLevel="0" collapsed="false">
      <c r="A13" s="117" t="s">
        <v>124</v>
      </c>
      <c r="B13" s="196" t="n">
        <v>1</v>
      </c>
      <c r="C13" s="196" t="n">
        <v>1.5</v>
      </c>
      <c r="D13" s="196" t="n">
        <v>1</v>
      </c>
    </row>
    <row r="14" customFormat="false" ht="15" hidden="false" customHeight="true" outlineLevel="0" collapsed="false">
      <c r="A14" s="117" t="s">
        <v>125</v>
      </c>
      <c r="B14" s="196" t="n">
        <v>1</v>
      </c>
      <c r="C14" s="196" t="n">
        <v>1</v>
      </c>
      <c r="D14" s="196" t="n">
        <v>1</v>
      </c>
    </row>
    <row r="15" customFormat="false" ht="15" hidden="false" customHeight="true" outlineLevel="0" collapsed="false">
      <c r="A15" s="117" t="s">
        <v>126</v>
      </c>
      <c r="B15" s="196" t="n">
        <v>1</v>
      </c>
      <c r="C15" s="196" t="n">
        <v>1</v>
      </c>
      <c r="D15" s="196" t="n">
        <v>1</v>
      </c>
    </row>
    <row r="16" customFormat="false" ht="15" hidden="false" customHeight="true" outlineLevel="0" collapsed="false">
      <c r="A16" s="117" t="s">
        <v>127</v>
      </c>
      <c r="B16" s="196" t="n">
        <v>1</v>
      </c>
      <c r="C16" s="196" t="n">
        <v>1</v>
      </c>
      <c r="D16" s="196" t="n">
        <v>1</v>
      </c>
    </row>
    <row r="17" customFormat="false" ht="15" hidden="false" customHeight="true" outlineLevel="0" collapsed="false">
      <c r="A17" s="117" t="s">
        <v>128</v>
      </c>
      <c r="B17" s="196" t="n">
        <v>1</v>
      </c>
      <c r="C17" s="196" t="n">
        <v>1</v>
      </c>
      <c r="D17" s="196" t="n">
        <v>1</v>
      </c>
    </row>
    <row r="18" customFormat="false" ht="15" hidden="false" customHeight="true" outlineLevel="0" collapsed="false">
      <c r="A18" s="117" t="s">
        <v>129</v>
      </c>
      <c r="B18" s="196" t="n">
        <v>1</v>
      </c>
      <c r="C18" s="196" t="n">
        <v>1.5</v>
      </c>
      <c r="D18" s="196" t="n">
        <v>1</v>
      </c>
    </row>
    <row r="19" customFormat="false" ht="15" hidden="false" customHeight="true" outlineLevel="0" collapsed="false">
      <c r="A19" s="117" t="s">
        <v>130</v>
      </c>
      <c r="B19" s="196" t="n">
        <v>1</v>
      </c>
      <c r="C19" s="196" t="n">
        <v>1</v>
      </c>
      <c r="D19" s="196" t="n">
        <v>1</v>
      </c>
    </row>
    <row r="20" customFormat="false" ht="15" hidden="false" customHeight="true" outlineLevel="0" collapsed="false">
      <c r="A20" s="117" t="s">
        <v>131</v>
      </c>
      <c r="B20" s="196" t="n">
        <v>1</v>
      </c>
      <c r="C20" s="196" t="n">
        <v>1</v>
      </c>
      <c r="D20" s="196" t="n">
        <v>1</v>
      </c>
    </row>
    <row r="21" customFormat="false" ht="15" hidden="false" customHeight="true" outlineLevel="0" collapsed="false">
      <c r="A21" s="115" t="s">
        <v>132</v>
      </c>
      <c r="B21" s="196" t="n">
        <v>2</v>
      </c>
      <c r="C21" s="196" t="n">
        <v>1.5</v>
      </c>
      <c r="D21" s="196" t="n">
        <v>1</v>
      </c>
    </row>
    <row r="22" customFormat="false" ht="15" hidden="false" customHeight="true" outlineLevel="0" collapsed="false">
      <c r="A22" s="115" t="s">
        <v>133</v>
      </c>
      <c r="B22" s="196" t="n">
        <v>3.5</v>
      </c>
      <c r="C22" s="196" t="n">
        <v>2</v>
      </c>
      <c r="D22" s="196" t="n">
        <v>1</v>
      </c>
    </row>
    <row r="23" customFormat="false" ht="15" hidden="false" customHeight="true" outlineLevel="0" collapsed="false">
      <c r="A23" s="115" t="s">
        <v>134</v>
      </c>
      <c r="B23" s="196" t="n">
        <v>4</v>
      </c>
      <c r="C23" s="196" t="n">
        <v>3</v>
      </c>
      <c r="D23" s="196" t="n">
        <v>1</v>
      </c>
    </row>
    <row r="24" customFormat="false" ht="15" hidden="false" customHeight="true" outlineLevel="0" collapsed="false">
      <c r="A24" s="115" t="s">
        <v>135</v>
      </c>
      <c r="B24" s="196" t="n">
        <v>1</v>
      </c>
      <c r="C24" s="196" t="n">
        <v>1</v>
      </c>
      <c r="D24" s="196" t="n">
        <v>1</v>
      </c>
    </row>
    <row r="25" customFormat="false" ht="15" hidden="false" customHeight="true" outlineLevel="0" collapsed="false">
      <c r="A25" s="115" t="s">
        <v>136</v>
      </c>
      <c r="B25" s="196" t="n">
        <v>2.5</v>
      </c>
      <c r="C25" s="196" t="n">
        <v>1.5</v>
      </c>
      <c r="D25" s="196" t="n">
        <v>1</v>
      </c>
    </row>
    <row r="26" customFormat="false" ht="15" hidden="false" customHeight="true" outlineLevel="0" collapsed="false">
      <c r="A26" s="115" t="s">
        <v>137</v>
      </c>
      <c r="B26" s="196" t="n">
        <v>3.5</v>
      </c>
      <c r="C26" s="196" t="n">
        <v>2</v>
      </c>
      <c r="D26" s="196" t="n">
        <v>1</v>
      </c>
    </row>
    <row r="27" customFormat="false" ht="15" hidden="false" customHeight="true" outlineLevel="0" collapsed="false">
      <c r="A27" s="115" t="s">
        <v>138</v>
      </c>
      <c r="B27" s="196" t="n">
        <v>2.5</v>
      </c>
      <c r="C27" s="196" t="n">
        <v>2.5</v>
      </c>
      <c r="D27" s="196" t="n">
        <v>1</v>
      </c>
    </row>
    <row r="28" customFormat="false" ht="15" hidden="false" customHeight="true" outlineLevel="0" collapsed="false">
      <c r="A28" s="115" t="s">
        <v>139</v>
      </c>
      <c r="B28" s="196" t="n">
        <v>1</v>
      </c>
      <c r="C28" s="196" t="n">
        <v>1</v>
      </c>
      <c r="D28" s="196" t="n">
        <v>1</v>
      </c>
    </row>
    <row r="29" customFormat="false" ht="15" hidden="false" customHeight="true" outlineLevel="0" collapsed="false">
      <c r="A29" s="115" t="s">
        <v>140</v>
      </c>
      <c r="B29" s="196" t="n">
        <v>1</v>
      </c>
      <c r="C29" s="196" t="n">
        <v>1</v>
      </c>
      <c r="D29" s="196" t="n">
        <v>1</v>
      </c>
    </row>
    <row r="30" customFormat="false" ht="15" hidden="false" customHeight="true" outlineLevel="0" collapsed="false">
      <c r="A30" s="115" t="s">
        <v>141</v>
      </c>
      <c r="B30" s="196" t="n">
        <v>1.5</v>
      </c>
      <c r="C30" s="196" t="n">
        <v>2</v>
      </c>
      <c r="D30" s="196" t="n">
        <v>1</v>
      </c>
    </row>
    <row r="31" customFormat="false" ht="15" hidden="false" customHeight="true" outlineLevel="0" collapsed="false">
      <c r="A31" s="115" t="s">
        <v>142</v>
      </c>
      <c r="B31" s="196" t="n">
        <v>2.5</v>
      </c>
      <c r="C31" s="196" t="n">
        <v>1</v>
      </c>
      <c r="D31" s="196" t="n">
        <v>1</v>
      </c>
    </row>
    <row r="32" customFormat="false" ht="15" hidden="false" customHeight="true" outlineLevel="0" collapsed="false">
      <c r="A32" s="117" t="s">
        <v>143</v>
      </c>
      <c r="B32" s="196" t="n">
        <v>1</v>
      </c>
      <c r="C32" s="196" t="n">
        <v>2.5</v>
      </c>
      <c r="D32" s="196" t="n">
        <v>1</v>
      </c>
    </row>
    <row r="33" customFormat="false" ht="15" hidden="false" customHeight="true" outlineLevel="0" collapsed="false">
      <c r="A33" s="117" t="s">
        <v>144</v>
      </c>
      <c r="B33" s="196" t="n">
        <v>1</v>
      </c>
      <c r="C33" s="196" t="n">
        <v>1.5</v>
      </c>
      <c r="D33" s="196" t="n">
        <v>1</v>
      </c>
    </row>
    <row r="34" customFormat="false" ht="15" hidden="false" customHeight="true" outlineLevel="0" collapsed="false">
      <c r="A34" s="117" t="s">
        <v>145</v>
      </c>
      <c r="B34" s="196" t="n">
        <v>1</v>
      </c>
      <c r="C34" s="196" t="n">
        <v>1.5</v>
      </c>
      <c r="D34" s="196" t="n">
        <v>1</v>
      </c>
    </row>
    <row r="35" customFormat="false" ht="15" hidden="false" customHeight="true" outlineLevel="0" collapsed="false">
      <c r="A35" s="117" t="s">
        <v>146</v>
      </c>
      <c r="B35" s="196" t="n">
        <v>1</v>
      </c>
      <c r="C35" s="196" t="n">
        <v>1</v>
      </c>
      <c r="D35" s="196" t="n">
        <v>1</v>
      </c>
    </row>
    <row r="36" customFormat="false" ht="15" hidden="false" customHeight="true" outlineLevel="0" collapsed="false">
      <c r="A36" s="117" t="s">
        <v>147</v>
      </c>
      <c r="B36" s="196" t="n">
        <v>1</v>
      </c>
      <c r="C36" s="196" t="n">
        <v>1</v>
      </c>
      <c r="D36" s="196" t="n">
        <v>1</v>
      </c>
    </row>
    <row r="37" customFormat="false" ht="15" hidden="false" customHeight="true" outlineLevel="0" collapsed="false">
      <c r="A37" s="117" t="s">
        <v>148</v>
      </c>
      <c r="B37" s="196" t="n">
        <v>1</v>
      </c>
      <c r="C37" s="196" t="n">
        <v>1</v>
      </c>
      <c r="D37" s="196" t="n">
        <v>1</v>
      </c>
    </row>
    <row r="38" customFormat="false" ht="15" hidden="false" customHeight="true" outlineLevel="0" collapsed="false">
      <c r="A38" s="115" t="s">
        <v>149</v>
      </c>
      <c r="B38" s="196" t="n">
        <v>1.5</v>
      </c>
      <c r="C38" s="196" t="n">
        <v>1.5</v>
      </c>
      <c r="D38" s="196" t="n">
        <v>1</v>
      </c>
    </row>
    <row r="39" customFormat="false" ht="15" hidden="false" customHeight="true" outlineLevel="0" collapsed="false">
      <c r="A39" s="115" t="s">
        <v>150</v>
      </c>
      <c r="B39" s="196" t="n">
        <v>1</v>
      </c>
      <c r="C39" s="196" t="n">
        <v>1</v>
      </c>
      <c r="D39" s="196" t="n">
        <v>1</v>
      </c>
    </row>
    <row r="40" customFormat="false" ht="15" hidden="false" customHeight="true" outlineLevel="0" collapsed="false">
      <c r="A40" s="115" t="s">
        <v>151</v>
      </c>
      <c r="B40" s="196" t="n">
        <v>1</v>
      </c>
      <c r="C40" s="196" t="n">
        <v>1</v>
      </c>
      <c r="D40" s="196" t="n">
        <v>1</v>
      </c>
    </row>
    <row r="41" customFormat="false" ht="15" hidden="false" customHeight="true" outlineLevel="0" collapsed="false">
      <c r="A41" s="115" t="s">
        <v>152</v>
      </c>
      <c r="B41" s="196" t="n">
        <v>1</v>
      </c>
      <c r="C41" s="196" t="n">
        <v>1</v>
      </c>
      <c r="D41" s="196" t="n">
        <v>1</v>
      </c>
    </row>
  </sheetData>
  <conditionalFormatting sqref="B2:D41">
    <cfRule type="cellIs" priority="2" operator="greaterThanOrEqual" aboveAverage="0" equalAverage="0" bottom="0" percent="0" rank="0" text="" dxfId="2">
      <formula>3</formula>
    </cfRule>
    <cfRule type="cellIs" priority="3" operator="greaterThanOrEqual" aboveAverage="0" equalAverage="0" bottom="0" percent="0" rank="0" text="" dxfId="3">
      <formula>2</formula>
    </cfRule>
    <cfRule type="cellIs" priority="4" operator="greaterThanOrEqual" aboveAverage="0" equalAverage="0" bottom="0" percent="0" rank="0" text="" dxfId="4">
      <formula>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true"/>
  </sheetPr>
  <dimension ref="A1:P6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20" activePane="bottomLeft" state="frozen"/>
      <selection pane="topLeft" activeCell="A1" activeCellId="0" sqref="A1"/>
      <selection pane="bottomLeft" activeCell="D26" activeCellId="0" sqref="D26"/>
    </sheetView>
  </sheetViews>
  <sheetFormatPr defaultColWidth="8.859375" defaultRowHeight="15" zeroHeight="false" outlineLevelRow="0" outlineLevelCol="0"/>
  <cols>
    <col collapsed="false" customWidth="true" hidden="false" outlineLevel="0" max="1" min="1" style="0" width="11.85"/>
    <col collapsed="false" customWidth="true" hidden="false" outlineLevel="0" max="3" min="2" style="0" width="9"/>
    <col collapsed="false" customWidth="true" hidden="false" outlineLevel="0" max="4" min="4" style="0" width="10.85"/>
    <col collapsed="false" customWidth="true" hidden="false" outlineLevel="0" max="5" min="5" style="0" width="28.86"/>
    <col collapsed="false" customWidth="true" hidden="false" outlineLevel="0" max="6" min="6" style="0" width="27.71"/>
    <col collapsed="false" customWidth="true" hidden="false" outlineLevel="0" max="7" min="7" style="0" width="17.57"/>
  </cols>
  <sheetData>
    <row r="1" s="25" customFormat="true" ht="29.25" hidden="false" customHeight="true" outlineLevel="0" collapsed="false">
      <c r="A1" s="79" t="s">
        <v>392</v>
      </c>
      <c r="B1" s="79"/>
      <c r="C1" s="79"/>
      <c r="D1" s="79"/>
      <c r="E1" s="79"/>
      <c r="F1" s="79"/>
      <c r="G1" s="79" t="s">
        <v>392</v>
      </c>
      <c r="H1" s="79"/>
      <c r="I1" s="79"/>
      <c r="J1" s="79"/>
      <c r="K1" s="79"/>
      <c r="L1" s="79"/>
      <c r="M1" s="79"/>
      <c r="N1" s="79"/>
      <c r="O1" s="79"/>
      <c r="P1" s="79"/>
    </row>
    <row r="2" customFormat="false" ht="15.75" hidden="false" customHeight="true" outlineLevel="0" collapsed="false"/>
    <row r="3" customFormat="false" ht="21" hidden="false" customHeight="true" outlineLevel="0" collapsed="false">
      <c r="A3" s="82" t="s">
        <v>393</v>
      </c>
      <c r="B3" s="82"/>
      <c r="C3" s="82"/>
      <c r="D3" s="82"/>
      <c r="E3" s="82"/>
      <c r="F3" s="82"/>
      <c r="G3" s="82" t="s">
        <v>393</v>
      </c>
      <c r="H3" s="82"/>
      <c r="I3" s="82"/>
      <c r="J3" s="82"/>
      <c r="K3" s="82"/>
      <c r="L3" s="82"/>
      <c r="M3" s="82"/>
      <c r="N3" s="82"/>
      <c r="O3" s="82"/>
      <c r="P3" s="82"/>
    </row>
    <row r="4" customFormat="false" ht="14.25" hidden="false" customHeight="true" outlineLevel="0" collapsed="false"/>
    <row r="5" s="25" customFormat="true" ht="19.5" hidden="false" customHeight="true" outlineLevel="0" collapsed="false">
      <c r="A5" s="216" t="s">
        <v>94</v>
      </c>
      <c r="B5" s="217" t="s">
        <v>367</v>
      </c>
      <c r="C5" s="217"/>
      <c r="D5" s="217" t="s">
        <v>96</v>
      </c>
      <c r="H5" s="187" t="s">
        <v>368</v>
      </c>
      <c r="I5" s="187"/>
      <c r="J5" s="187"/>
      <c r="K5" s="187"/>
      <c r="L5" s="187"/>
    </row>
    <row r="6" s="25" customFormat="true" ht="19.5" hidden="false" customHeight="true" outlineLevel="0" collapsed="false">
      <c r="A6" s="218" t="s">
        <v>394</v>
      </c>
      <c r="B6" s="219" t="n">
        <v>0.1</v>
      </c>
      <c r="C6" s="219"/>
      <c r="D6" s="220" t="n">
        <v>0.15</v>
      </c>
    </row>
    <row r="7" s="84" customFormat="true" ht="19.5" hidden="false" customHeight="true" outlineLevel="0" collapsed="false">
      <c r="A7" s="218" t="s">
        <v>395</v>
      </c>
      <c r="B7" s="219" t="n">
        <v>0.75</v>
      </c>
      <c r="C7" s="219"/>
      <c r="D7" s="220" t="n">
        <v>0.7</v>
      </c>
      <c r="E7" s="25"/>
      <c r="F7" s="25"/>
      <c r="G7" s="25"/>
    </row>
    <row r="8" s="84" customFormat="true" ht="19.5" hidden="false" customHeight="true" outlineLevel="0" collapsed="false">
      <c r="A8" s="218" t="s">
        <v>396</v>
      </c>
      <c r="B8" s="221" t="n">
        <v>0.15</v>
      </c>
      <c r="C8" s="221"/>
      <c r="D8" s="222" t="n">
        <v>0.15</v>
      </c>
    </row>
    <row r="9" customFormat="false" ht="15" hidden="false" customHeight="false" outlineLevel="0" collapsed="false">
      <c r="A9" s="212"/>
      <c r="B9" s="212"/>
      <c r="C9" s="212"/>
      <c r="D9" s="212"/>
    </row>
    <row r="10" customFormat="false" ht="85.5" hidden="false" customHeight="true" outlineLevel="0" collapsed="false">
      <c r="A10" s="57"/>
      <c r="B10" s="57"/>
      <c r="C10" s="57"/>
      <c r="D10" s="57"/>
    </row>
    <row r="11" customFormat="false" ht="50.25" hidden="false" customHeight="true" outlineLevel="0" collapsed="false">
      <c r="A11" s="57"/>
      <c r="B11" s="57"/>
      <c r="C11" s="57"/>
      <c r="D11" s="57"/>
    </row>
    <row r="12" customFormat="false" ht="220.5" hidden="false" customHeight="true" outlineLevel="0" collapsed="false"/>
    <row r="13" s="95" customFormat="true" ht="15" hidden="false" customHeight="false" outlineLevel="0" collapsed="false"/>
    <row r="14" s="95" customFormat="true" ht="15" hidden="false" customHeight="false" outlineLevel="0" collapsed="false"/>
    <row r="15" s="95" customFormat="true" ht="15" hidden="false" customHeight="false" outlineLevel="0" collapsed="false"/>
    <row r="16" s="95" customFormat="true" ht="15" hidden="false" customHeight="false" outlineLevel="0" collapsed="false"/>
    <row r="17" s="95" customFormat="true" ht="12.75" hidden="false" customHeight="true" outlineLevel="0" collapsed="false">
      <c r="E17" s="126"/>
      <c r="F17" s="127"/>
    </row>
    <row r="18" s="84" customFormat="true" ht="24" hidden="false" customHeight="true" outlineLevel="0" collapsed="false">
      <c r="A18" s="99" t="s">
        <v>104</v>
      </c>
      <c r="B18" s="99"/>
      <c r="C18" s="99"/>
      <c r="D18" s="99"/>
      <c r="E18" s="99"/>
      <c r="F18" s="99"/>
      <c r="G18" s="99" t="s">
        <v>104</v>
      </c>
      <c r="H18" s="99"/>
      <c r="I18" s="99"/>
      <c r="J18" s="99"/>
      <c r="K18" s="99"/>
      <c r="L18" s="99"/>
      <c r="M18" s="99"/>
      <c r="N18" s="99"/>
      <c r="O18" s="99"/>
      <c r="P18" s="99"/>
    </row>
    <row r="19" customFormat="false" ht="9" hidden="false" customHeight="true" outlineLevel="0" collapsed="false"/>
    <row r="20" s="84" customFormat="true" ht="36" hidden="false" customHeight="true" outlineLevel="0" collapsed="false">
      <c r="A20" s="194" t="s">
        <v>169</v>
      </c>
      <c r="B20" s="194"/>
      <c r="C20" s="194"/>
      <c r="D20" s="194"/>
    </row>
    <row r="21" s="84" customFormat="true" ht="42" hidden="false" customHeight="true" outlineLevel="0" collapsed="false">
      <c r="A21" s="104" t="s">
        <v>106</v>
      </c>
      <c r="B21" s="105" t="s">
        <v>107</v>
      </c>
      <c r="C21" s="105" t="s">
        <v>108</v>
      </c>
      <c r="D21" s="105" t="s">
        <v>109</v>
      </c>
    </row>
    <row r="22" customFormat="false" ht="15" hidden="false" customHeight="false" outlineLevel="0" collapsed="false">
      <c r="A22" s="129" t="s">
        <v>113</v>
      </c>
      <c r="B22" s="195" t="n">
        <f aca="false" t="array" ref="B22:B61">MMULT(DF10map!B2:D41,DF10!B6:B8)</f>
        <v>2.45</v>
      </c>
      <c r="C22" s="195" t="n">
        <f aca="false" t="array" ref="C22:C61">MMULT(DF10map!B2:D41,DF10!D6:D8)</f>
        <v>2.5</v>
      </c>
      <c r="D22" s="132" t="n">
        <f aca="false">IFERROR(MROUND((100*B22/C22),5)-100,0)</f>
        <v>0</v>
      </c>
    </row>
    <row r="23" customFormat="false" ht="15" hidden="false" customHeight="false" outlineLevel="0" collapsed="false">
      <c r="A23" s="129" t="s">
        <v>114</v>
      </c>
      <c r="B23" s="195" t="n">
        <v>2.5</v>
      </c>
      <c r="C23" s="195" t="n">
        <v>2.575</v>
      </c>
      <c r="D23" s="132" t="n">
        <f aca="false">IFERROR(MROUND((100*B23/C23),5)-100,0)</f>
        <v>-5</v>
      </c>
      <c r="I23" s="36"/>
    </row>
    <row r="24" customFormat="false" ht="15" hidden="false" customHeight="false" outlineLevel="0" collapsed="false">
      <c r="A24" s="129" t="s">
        <v>115</v>
      </c>
      <c r="B24" s="195" t="n">
        <v>1.05</v>
      </c>
      <c r="C24" s="195" t="n">
        <v>1.075</v>
      </c>
      <c r="D24" s="132" t="n">
        <f aca="false">IFERROR(MROUND((100*B24/C24),5)-100,0)</f>
        <v>0</v>
      </c>
    </row>
    <row r="25" customFormat="false" ht="15" hidden="false" customHeight="false" outlineLevel="0" collapsed="false">
      <c r="A25" s="129" t="s">
        <v>116</v>
      </c>
      <c r="B25" s="195" t="n">
        <v>1.975</v>
      </c>
      <c r="C25" s="195" t="n">
        <v>2</v>
      </c>
      <c r="D25" s="132" t="n">
        <f aca="false">IFERROR(MROUND((100*B25/C25),5)-100,0)</f>
        <v>0</v>
      </c>
    </row>
    <row r="26" customFormat="false" ht="15" hidden="false" customHeight="false" outlineLevel="0" collapsed="false">
      <c r="A26" s="129" t="s">
        <v>117</v>
      </c>
      <c r="B26" s="195" t="n">
        <v>1.05</v>
      </c>
      <c r="C26" s="195" t="n">
        <v>1.075</v>
      </c>
      <c r="D26" s="132" t="n">
        <f aca="false">IFERROR(MROUND((100*B26/C26),5)-100,0)</f>
        <v>0</v>
      </c>
    </row>
    <row r="27" customFormat="false" ht="15" hidden="false" customHeight="false" outlineLevel="0" collapsed="false">
      <c r="A27" s="133" t="s">
        <v>118</v>
      </c>
      <c r="B27" s="195" t="n">
        <v>1.525</v>
      </c>
      <c r="C27" s="195" t="n">
        <v>1.575</v>
      </c>
      <c r="D27" s="132" t="n">
        <f aca="false">IFERROR(MROUND((100*B27/C27),5)-100,0)</f>
        <v>-5</v>
      </c>
    </row>
    <row r="28" customFormat="false" ht="15" hidden="false" customHeight="false" outlineLevel="0" collapsed="false">
      <c r="A28" s="133" t="s">
        <v>119</v>
      </c>
      <c r="B28" s="195" t="n">
        <v>2.875</v>
      </c>
      <c r="C28" s="195" t="n">
        <v>2.925</v>
      </c>
      <c r="D28" s="132" t="n">
        <f aca="false">IFERROR(MROUND((100*B28/C28),5)-100,0)</f>
        <v>0</v>
      </c>
    </row>
    <row r="29" customFormat="false" ht="15" hidden="false" customHeight="false" outlineLevel="0" collapsed="false">
      <c r="A29" s="133" t="s">
        <v>120</v>
      </c>
      <c r="B29" s="195" t="n">
        <v>1.1</v>
      </c>
      <c r="C29" s="195" t="n">
        <v>1.15</v>
      </c>
      <c r="D29" s="132" t="n">
        <f aca="false">IFERROR(MROUND((100*B29/C29),5)-100,0)</f>
        <v>-5</v>
      </c>
    </row>
    <row r="30" customFormat="false" ht="15" hidden="false" customHeight="false" outlineLevel="0" collapsed="false">
      <c r="A30" s="133" t="s">
        <v>121</v>
      </c>
      <c r="B30" s="195" t="n">
        <v>2.8</v>
      </c>
      <c r="C30" s="195" t="n">
        <v>2.85</v>
      </c>
      <c r="D30" s="132" t="n">
        <f aca="false">IFERROR(MROUND((100*B30/C30),5)-100,0)</f>
        <v>0</v>
      </c>
    </row>
    <row r="31" customFormat="false" ht="15" hidden="false" customHeight="false" outlineLevel="0" collapsed="false">
      <c r="A31" s="133" t="s">
        <v>122</v>
      </c>
      <c r="B31" s="195" t="n">
        <v>2.425</v>
      </c>
      <c r="C31" s="195" t="n">
        <v>2.5</v>
      </c>
      <c r="D31" s="132" t="n">
        <f aca="false">IFERROR(MROUND((100*B31/C31),5)-100,0)</f>
        <v>-5</v>
      </c>
    </row>
    <row r="32" customFormat="false" ht="15" hidden="false" customHeight="false" outlineLevel="0" collapsed="false">
      <c r="A32" s="133" t="s">
        <v>123</v>
      </c>
      <c r="B32" s="195" t="n">
        <v>1.375</v>
      </c>
      <c r="C32" s="195" t="n">
        <v>1.35</v>
      </c>
      <c r="D32" s="132" t="n">
        <f aca="false">IFERROR(MROUND((100*B32/C32),5)-100,0)</f>
        <v>0</v>
      </c>
    </row>
    <row r="33" customFormat="false" ht="15" hidden="false" customHeight="false" outlineLevel="0" collapsed="false">
      <c r="A33" s="133" t="s">
        <v>124</v>
      </c>
      <c r="B33" s="195" t="n">
        <v>1.15</v>
      </c>
      <c r="C33" s="195" t="n">
        <v>1.225</v>
      </c>
      <c r="D33" s="132" t="n">
        <f aca="false">IFERROR(MROUND((100*B33/C33),5)-100,0)</f>
        <v>-5</v>
      </c>
    </row>
    <row r="34" customFormat="false" ht="15" hidden="false" customHeight="false" outlineLevel="0" collapsed="false">
      <c r="A34" s="133" t="s">
        <v>125</v>
      </c>
      <c r="B34" s="195" t="n">
        <v>1.575</v>
      </c>
      <c r="C34" s="195" t="n">
        <v>1.65</v>
      </c>
      <c r="D34" s="132" t="n">
        <f aca="false">IFERROR(MROUND((100*B34/C34),5)-100,0)</f>
        <v>-5</v>
      </c>
    </row>
    <row r="35" customFormat="false" ht="15" hidden="false" customHeight="false" outlineLevel="0" collapsed="false">
      <c r="A35" s="133" t="s">
        <v>126</v>
      </c>
      <c r="B35" s="195" t="n">
        <v>1.425</v>
      </c>
      <c r="C35" s="195" t="n">
        <v>1.425</v>
      </c>
      <c r="D35" s="132" t="n">
        <f aca="false">IFERROR(MROUND((100*B35/C35),5)-100,0)</f>
        <v>0</v>
      </c>
    </row>
    <row r="36" customFormat="false" ht="15" hidden="false" customHeight="false" outlineLevel="0" collapsed="false">
      <c r="A36" s="133" t="s">
        <v>127</v>
      </c>
      <c r="B36" s="195" t="n">
        <v>1.525</v>
      </c>
      <c r="C36" s="195" t="n">
        <v>1.575</v>
      </c>
      <c r="D36" s="132" t="n">
        <f aca="false">IFERROR(MROUND((100*B36/C36),5)-100,0)</f>
        <v>-5</v>
      </c>
    </row>
    <row r="37" customFormat="false" ht="15" hidden="false" customHeight="false" outlineLevel="0" collapsed="false">
      <c r="A37" s="133" t="s">
        <v>128</v>
      </c>
      <c r="B37" s="195" t="n">
        <v>1.425</v>
      </c>
      <c r="C37" s="195" t="n">
        <v>1.425</v>
      </c>
      <c r="D37" s="132" t="n">
        <f aca="false">IFERROR(MROUND((100*B37/C37),5)-100,0)</f>
        <v>0</v>
      </c>
    </row>
    <row r="38" customFormat="false" ht="15" hidden="false" customHeight="false" outlineLevel="0" collapsed="false">
      <c r="A38" s="133" t="s">
        <v>129</v>
      </c>
      <c r="B38" s="195" t="n">
        <v>1.475</v>
      </c>
      <c r="C38" s="195" t="n">
        <v>1.5</v>
      </c>
      <c r="D38" s="132" t="n">
        <f aca="false">IFERROR(MROUND((100*B38/C38),5)-100,0)</f>
        <v>0</v>
      </c>
    </row>
    <row r="39" customFormat="false" ht="15" hidden="false" customHeight="false" outlineLevel="0" collapsed="false">
      <c r="A39" s="133" t="s">
        <v>130</v>
      </c>
      <c r="B39" s="195" t="n">
        <v>1</v>
      </c>
      <c r="C39" s="195" t="n">
        <v>1</v>
      </c>
      <c r="D39" s="132" t="n">
        <f aca="false">IFERROR(MROUND((100*B39/C39),5)-100,0)</f>
        <v>0</v>
      </c>
    </row>
    <row r="40" customFormat="false" ht="15" hidden="false" customHeight="false" outlineLevel="0" collapsed="false">
      <c r="A40" s="133" t="s">
        <v>131</v>
      </c>
      <c r="B40" s="195" t="n">
        <v>1.9</v>
      </c>
      <c r="C40" s="195" t="n">
        <v>1.925</v>
      </c>
      <c r="D40" s="132" t="n">
        <f aca="false">IFERROR(MROUND((100*B40/C40),5)-100,0)</f>
        <v>0</v>
      </c>
    </row>
    <row r="41" customFormat="false" ht="15" hidden="false" customHeight="false" outlineLevel="0" collapsed="false">
      <c r="A41" s="129" t="s">
        <v>170</v>
      </c>
      <c r="B41" s="195" t="n">
        <v>2.875</v>
      </c>
      <c r="C41" s="195" t="n">
        <v>2.925</v>
      </c>
      <c r="D41" s="132" t="n">
        <f aca="false">IFERROR(MROUND((100*B41/C41),5)-100,0)</f>
        <v>0</v>
      </c>
    </row>
    <row r="42" customFormat="false" ht="15" hidden="false" customHeight="false" outlineLevel="0" collapsed="false">
      <c r="A42" s="129" t="s">
        <v>133</v>
      </c>
      <c r="B42" s="195" t="n">
        <v>2.375</v>
      </c>
      <c r="C42" s="195" t="n">
        <v>2.425</v>
      </c>
      <c r="D42" s="132" t="n">
        <f aca="false">IFERROR(MROUND((100*B42/C42),5)-100,0)</f>
        <v>0</v>
      </c>
    </row>
    <row r="43" customFormat="false" ht="15" hidden="false" customHeight="false" outlineLevel="0" collapsed="false">
      <c r="A43" s="129" t="s">
        <v>134</v>
      </c>
      <c r="B43" s="195" t="n">
        <v>2.425</v>
      </c>
      <c r="C43" s="195" t="n">
        <v>2.5</v>
      </c>
      <c r="D43" s="132" t="n">
        <f aca="false">IFERROR(MROUND((100*B43/C43),5)-100,0)</f>
        <v>-5</v>
      </c>
    </row>
    <row r="44" customFormat="false" ht="15" hidden="false" customHeight="false" outlineLevel="0" collapsed="false">
      <c r="A44" s="129" t="s">
        <v>135</v>
      </c>
      <c r="B44" s="195" t="n">
        <v>1.425</v>
      </c>
      <c r="C44" s="195" t="n">
        <v>1.425</v>
      </c>
      <c r="D44" s="132" t="n">
        <f aca="false">IFERROR(MROUND((100*B44/C44),5)-100,0)</f>
        <v>0</v>
      </c>
    </row>
    <row r="45" customFormat="false" ht="15" hidden="false" customHeight="false" outlineLevel="0" collapsed="false">
      <c r="A45" s="129" t="s">
        <v>136</v>
      </c>
      <c r="B45" s="195" t="n">
        <v>1.95</v>
      </c>
      <c r="C45" s="195" t="n">
        <v>2</v>
      </c>
      <c r="D45" s="132" t="n">
        <f aca="false">IFERROR(MROUND((100*B45/C45),5)-100,0)</f>
        <v>0</v>
      </c>
    </row>
    <row r="46" customFormat="false" ht="15" hidden="false" customHeight="false" outlineLevel="0" collapsed="false">
      <c r="A46" s="129" t="s">
        <v>137</v>
      </c>
      <c r="B46" s="195" t="n">
        <v>1.9</v>
      </c>
      <c r="C46" s="195" t="n">
        <v>1.925</v>
      </c>
      <c r="D46" s="132" t="n">
        <f aca="false">IFERROR(MROUND((100*B46/C46),5)-100,0)</f>
        <v>0</v>
      </c>
    </row>
    <row r="47" customFormat="false" ht="15" hidden="false" customHeight="false" outlineLevel="0" collapsed="false">
      <c r="A47" s="129" t="s">
        <v>138</v>
      </c>
      <c r="B47" s="195" t="n">
        <v>2.375</v>
      </c>
      <c r="C47" s="195" t="n">
        <v>2.425</v>
      </c>
      <c r="D47" s="132" t="n">
        <f aca="false">IFERROR(MROUND((100*B47/C47),5)-100,0)</f>
        <v>0</v>
      </c>
    </row>
    <row r="48" customFormat="false" ht="15" hidden="false" customHeight="false" outlineLevel="0" collapsed="false">
      <c r="A48" s="129" t="s">
        <v>139</v>
      </c>
      <c r="B48" s="195" t="n">
        <v>1.05</v>
      </c>
      <c r="C48" s="195" t="n">
        <v>1.075</v>
      </c>
      <c r="D48" s="132" t="n">
        <f aca="false">IFERROR(MROUND((100*B48/C48),5)-100,0)</f>
        <v>0</v>
      </c>
    </row>
    <row r="49" customFormat="false" ht="15" hidden="false" customHeight="false" outlineLevel="0" collapsed="false">
      <c r="A49" s="129" t="s">
        <v>140</v>
      </c>
      <c r="B49" s="195" t="n">
        <v>1</v>
      </c>
      <c r="C49" s="195" t="n">
        <v>1</v>
      </c>
      <c r="D49" s="132" t="n">
        <f aca="false">IFERROR(MROUND((100*B49/C49),5)-100,0)</f>
        <v>0</v>
      </c>
    </row>
    <row r="50" customFormat="false" ht="15" hidden="false" customHeight="false" outlineLevel="0" collapsed="false">
      <c r="A50" s="129" t="s">
        <v>141</v>
      </c>
      <c r="B50" s="195" t="n">
        <v>1.05</v>
      </c>
      <c r="C50" s="195" t="n">
        <v>1.075</v>
      </c>
      <c r="D50" s="132" t="n">
        <f aca="false">IFERROR(MROUND((100*B50/C50),5)-100,0)</f>
        <v>0</v>
      </c>
    </row>
    <row r="51" customFormat="false" ht="15" hidden="false" customHeight="false" outlineLevel="0" collapsed="false">
      <c r="A51" s="129" t="s">
        <v>142</v>
      </c>
      <c r="B51" s="195" t="n">
        <v>2.375</v>
      </c>
      <c r="C51" s="195" t="n">
        <v>2.425</v>
      </c>
      <c r="D51" s="132" t="n">
        <f aca="false">IFERROR(MROUND((100*B51/C51),5)-100,0)</f>
        <v>0</v>
      </c>
    </row>
    <row r="52" customFormat="false" ht="15" hidden="false" customHeight="false" outlineLevel="0" collapsed="false">
      <c r="A52" s="133" t="s">
        <v>143</v>
      </c>
      <c r="B52" s="195" t="n">
        <v>1</v>
      </c>
      <c r="C52" s="195" t="n">
        <v>1</v>
      </c>
      <c r="D52" s="132" t="n">
        <f aca="false">IFERROR(MROUND((100*B52/C52),5)-100,0)</f>
        <v>0</v>
      </c>
    </row>
    <row r="53" customFormat="false" ht="15" hidden="false" customHeight="false" outlineLevel="0" collapsed="false">
      <c r="A53" s="133" t="s">
        <v>144</v>
      </c>
      <c r="B53" s="195" t="n">
        <v>1</v>
      </c>
      <c r="C53" s="195" t="n">
        <v>1</v>
      </c>
      <c r="D53" s="132" t="n">
        <f aca="false">IFERROR(MROUND((100*B53/C53),5)-100,0)</f>
        <v>0</v>
      </c>
    </row>
    <row r="54" customFormat="false" ht="15" hidden="false" customHeight="false" outlineLevel="0" collapsed="false">
      <c r="A54" s="133" t="s">
        <v>145</v>
      </c>
      <c r="B54" s="195" t="n">
        <v>1.05</v>
      </c>
      <c r="C54" s="195" t="n">
        <v>1.075</v>
      </c>
      <c r="D54" s="132" t="n">
        <f aca="false">IFERROR(MROUND((100*B54/C54),5)-100,0)</f>
        <v>0</v>
      </c>
    </row>
    <row r="55" customFormat="false" ht="15" hidden="false" customHeight="false" outlineLevel="0" collapsed="false">
      <c r="A55" s="133" t="s">
        <v>146</v>
      </c>
      <c r="B55" s="195" t="n">
        <v>1.05</v>
      </c>
      <c r="C55" s="195" t="n">
        <v>1.075</v>
      </c>
      <c r="D55" s="132" t="n">
        <f aca="false">IFERROR(MROUND((100*B55/C55),5)-100,0)</f>
        <v>0</v>
      </c>
    </row>
    <row r="56" customFormat="false" ht="15" hidden="false" customHeight="false" outlineLevel="0" collapsed="false">
      <c r="A56" s="133" t="s">
        <v>147</v>
      </c>
      <c r="B56" s="195" t="n">
        <v>1.05</v>
      </c>
      <c r="C56" s="195" t="n">
        <v>1.075</v>
      </c>
      <c r="D56" s="132" t="n">
        <f aca="false">IFERROR(MROUND((100*B56/C56),5)-100,0)</f>
        <v>0</v>
      </c>
    </row>
    <row r="57" customFormat="false" ht="15" hidden="false" customHeight="false" outlineLevel="0" collapsed="false">
      <c r="A57" s="133" t="s">
        <v>148</v>
      </c>
      <c r="B57" s="195" t="n">
        <v>1</v>
      </c>
      <c r="C57" s="195" t="n">
        <v>1</v>
      </c>
      <c r="D57" s="132" t="n">
        <f aca="false">IFERROR(MROUND((100*B57/C57),5)-100,0)</f>
        <v>0</v>
      </c>
    </row>
    <row r="58" customFormat="false" ht="15" hidden="false" customHeight="false" outlineLevel="0" collapsed="false">
      <c r="A58" s="129" t="s">
        <v>149</v>
      </c>
      <c r="B58" s="195" t="n">
        <v>1.95</v>
      </c>
      <c r="C58" s="195" t="n">
        <v>2</v>
      </c>
      <c r="D58" s="132" t="n">
        <f aca="false">IFERROR(MROUND((100*B58/C58),5)-100,0)</f>
        <v>0</v>
      </c>
    </row>
    <row r="59" customFormat="false" ht="15" hidden="false" customHeight="false" outlineLevel="0" collapsed="false">
      <c r="A59" s="129" t="s">
        <v>150</v>
      </c>
      <c r="B59" s="195" t="n">
        <v>1</v>
      </c>
      <c r="C59" s="195" t="n">
        <v>1</v>
      </c>
      <c r="D59" s="132" t="n">
        <f aca="false">IFERROR(MROUND((100*B59/C59),5)-100,0)</f>
        <v>0</v>
      </c>
    </row>
    <row r="60" customFormat="false" ht="15" hidden="false" customHeight="false" outlineLevel="0" collapsed="false">
      <c r="A60" s="129" t="s">
        <v>151</v>
      </c>
      <c r="B60" s="195" t="n">
        <v>1</v>
      </c>
      <c r="C60" s="195" t="n">
        <v>1</v>
      </c>
      <c r="D60" s="132" t="n">
        <f aca="false">IFERROR(MROUND((100*B60/C60),5)-100,0)</f>
        <v>0</v>
      </c>
    </row>
    <row r="61" customFormat="false" ht="15" hidden="false" customHeight="false" outlineLevel="0" collapsed="false">
      <c r="A61" s="129" t="s">
        <v>152</v>
      </c>
      <c r="B61" s="195" t="n">
        <v>1</v>
      </c>
      <c r="C61" s="195" t="n">
        <v>1</v>
      </c>
      <c r="D61" s="132" t="n">
        <f aca="false">IFERROR(MROUND((100*B61/C61),5)-100,0)</f>
        <v>0</v>
      </c>
    </row>
  </sheetData>
  <mergeCells count="12">
    <mergeCell ref="A1:F1"/>
    <mergeCell ref="G1:P1"/>
    <mergeCell ref="A3:F3"/>
    <mergeCell ref="G3:P3"/>
    <mergeCell ref="B5:C5"/>
    <mergeCell ref="H5:L5"/>
    <mergeCell ref="B6:C6"/>
    <mergeCell ref="B7:C7"/>
    <mergeCell ref="B8:C8"/>
    <mergeCell ref="A18:F18"/>
    <mergeCell ref="G18:P18"/>
    <mergeCell ref="A20:D20"/>
  </mergeCells>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rowBreaks count="1" manualBreakCount="1">
    <brk id="16" man="true" max="16383" min="0"/>
  </rowBreaks>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D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C21" activeCellId="0" sqref="C21"/>
    </sheetView>
  </sheetViews>
  <sheetFormatPr defaultColWidth="8.859375" defaultRowHeight="15.75" zeroHeight="false" outlineLevelRow="0" outlineLevelCol="0"/>
  <cols>
    <col collapsed="false" customWidth="true" hidden="false" outlineLevel="0" max="1" min="1" style="39" width="8.71"/>
    <col collapsed="false" customWidth="true" hidden="false" outlineLevel="0" max="4" min="2" style="214" width="13.86"/>
  </cols>
  <sheetData>
    <row r="1" customFormat="false" ht="21" hidden="false" customHeight="true" outlineLevel="0" collapsed="false">
      <c r="A1" s="176" t="s">
        <v>25</v>
      </c>
      <c r="B1" s="52" t="s">
        <v>397</v>
      </c>
      <c r="C1" s="52" t="s">
        <v>395</v>
      </c>
      <c r="D1" s="52" t="s">
        <v>398</v>
      </c>
    </row>
    <row r="2" customFormat="false" ht="15" hidden="false" customHeight="true" outlineLevel="0" collapsed="false">
      <c r="A2" s="115" t="s">
        <v>113</v>
      </c>
      <c r="B2" s="196" t="n">
        <v>3.5</v>
      </c>
      <c r="C2" s="196" t="n">
        <v>2.5</v>
      </c>
      <c r="D2" s="196" t="n">
        <v>1.5</v>
      </c>
    </row>
    <row r="3" customFormat="false" ht="15" hidden="false" customHeight="true" outlineLevel="0" collapsed="false">
      <c r="A3" s="115" t="s">
        <v>114</v>
      </c>
      <c r="B3" s="196" t="n">
        <v>4</v>
      </c>
      <c r="C3" s="196" t="n">
        <v>2.5</v>
      </c>
      <c r="D3" s="196" t="n">
        <v>1.5</v>
      </c>
    </row>
    <row r="4" customFormat="false" ht="15" hidden="false" customHeight="true" outlineLevel="0" collapsed="false">
      <c r="A4" s="115" t="s">
        <v>115</v>
      </c>
      <c r="B4" s="196" t="n">
        <v>1.5</v>
      </c>
      <c r="C4" s="196" t="n">
        <v>1</v>
      </c>
      <c r="D4" s="196" t="n">
        <v>1</v>
      </c>
    </row>
    <row r="5" customFormat="false" ht="15" hidden="false" customHeight="true" outlineLevel="0" collapsed="false">
      <c r="A5" s="115" t="s">
        <v>116</v>
      </c>
      <c r="B5" s="196" t="n">
        <v>2.5</v>
      </c>
      <c r="C5" s="196" t="n">
        <v>2</v>
      </c>
      <c r="D5" s="196" t="n">
        <v>1.5</v>
      </c>
    </row>
    <row r="6" customFormat="false" ht="15" hidden="false" customHeight="true" outlineLevel="0" collapsed="false">
      <c r="A6" s="115" t="s">
        <v>117</v>
      </c>
      <c r="B6" s="196" t="n">
        <v>1.5</v>
      </c>
      <c r="C6" s="196" t="n">
        <v>1</v>
      </c>
      <c r="D6" s="196" t="n">
        <v>1</v>
      </c>
    </row>
    <row r="7" customFormat="false" ht="15" hidden="false" customHeight="true" outlineLevel="0" collapsed="false">
      <c r="A7" s="117" t="s">
        <v>118</v>
      </c>
      <c r="B7" s="196" t="n">
        <v>2.5</v>
      </c>
      <c r="C7" s="196" t="n">
        <v>1.5</v>
      </c>
      <c r="D7" s="196" t="n">
        <v>1</v>
      </c>
    </row>
    <row r="8" customFormat="false" ht="15" hidden="false" customHeight="true" outlineLevel="0" collapsed="false">
      <c r="A8" s="117" t="s">
        <v>119</v>
      </c>
      <c r="B8" s="196" t="n">
        <v>4</v>
      </c>
      <c r="C8" s="196" t="n">
        <v>3</v>
      </c>
      <c r="D8" s="196" t="n">
        <v>1.5</v>
      </c>
    </row>
    <row r="9" customFormat="false" ht="15" hidden="false" customHeight="true" outlineLevel="0" collapsed="false">
      <c r="A9" s="117" t="s">
        <v>120</v>
      </c>
      <c r="B9" s="196" t="n">
        <v>2</v>
      </c>
      <c r="C9" s="196" t="n">
        <v>1</v>
      </c>
      <c r="D9" s="196" t="n">
        <v>1</v>
      </c>
    </row>
    <row r="10" customFormat="false" ht="15" hidden="false" customHeight="true" outlineLevel="0" collapsed="false">
      <c r="A10" s="117" t="s">
        <v>121</v>
      </c>
      <c r="B10" s="196" t="n">
        <v>4</v>
      </c>
      <c r="C10" s="196" t="n">
        <v>3</v>
      </c>
      <c r="D10" s="196" t="n">
        <v>1</v>
      </c>
    </row>
    <row r="11" customFormat="false" ht="15" hidden="false" customHeight="true" outlineLevel="0" collapsed="false">
      <c r="A11" s="117" t="s">
        <v>122</v>
      </c>
      <c r="B11" s="196" t="n">
        <v>4</v>
      </c>
      <c r="C11" s="196" t="n">
        <v>2.5</v>
      </c>
      <c r="D11" s="196" t="n">
        <v>1</v>
      </c>
    </row>
    <row r="12" customFormat="false" ht="15" hidden="false" customHeight="true" outlineLevel="0" collapsed="false">
      <c r="A12" s="117" t="s">
        <v>123</v>
      </c>
      <c r="B12" s="196" t="n">
        <v>1</v>
      </c>
      <c r="C12" s="196" t="n">
        <v>1.5</v>
      </c>
      <c r="D12" s="196" t="n">
        <v>1</v>
      </c>
    </row>
    <row r="13" customFormat="false" ht="15" hidden="false" customHeight="true" outlineLevel="0" collapsed="false">
      <c r="A13" s="117" t="s">
        <v>124</v>
      </c>
      <c r="B13" s="196" t="n">
        <v>2.5</v>
      </c>
      <c r="C13" s="196" t="n">
        <v>1</v>
      </c>
      <c r="D13" s="196" t="n">
        <v>1</v>
      </c>
    </row>
    <row r="14" customFormat="false" ht="15" hidden="false" customHeight="true" outlineLevel="0" collapsed="false">
      <c r="A14" s="117" t="s">
        <v>125</v>
      </c>
      <c r="B14" s="196" t="n">
        <v>3</v>
      </c>
      <c r="C14" s="196" t="n">
        <v>1.5</v>
      </c>
      <c r="D14" s="196" t="n">
        <v>1</v>
      </c>
    </row>
    <row r="15" customFormat="false" ht="15" hidden="false" customHeight="true" outlineLevel="0" collapsed="false">
      <c r="A15" s="117" t="s">
        <v>126</v>
      </c>
      <c r="B15" s="196" t="n">
        <v>1.5</v>
      </c>
      <c r="C15" s="196" t="n">
        <v>1.5</v>
      </c>
      <c r="D15" s="196" t="n">
        <v>1</v>
      </c>
    </row>
    <row r="16" customFormat="false" ht="15" hidden="false" customHeight="true" outlineLevel="0" collapsed="false">
      <c r="A16" s="117" t="s">
        <v>127</v>
      </c>
      <c r="B16" s="196" t="n">
        <v>2.5</v>
      </c>
      <c r="C16" s="196" t="n">
        <v>1.5</v>
      </c>
      <c r="D16" s="196" t="n">
        <v>1</v>
      </c>
    </row>
    <row r="17" customFormat="false" ht="15" hidden="false" customHeight="true" outlineLevel="0" collapsed="false">
      <c r="A17" s="117" t="s">
        <v>128</v>
      </c>
      <c r="B17" s="196" t="n">
        <v>1.5</v>
      </c>
      <c r="C17" s="196" t="n">
        <v>1.5</v>
      </c>
      <c r="D17" s="196" t="n">
        <v>1</v>
      </c>
    </row>
    <row r="18" customFormat="false" ht="15" hidden="false" customHeight="true" outlineLevel="0" collapsed="false">
      <c r="A18" s="117" t="s">
        <v>129</v>
      </c>
      <c r="B18" s="196" t="n">
        <v>2</v>
      </c>
      <c r="C18" s="196" t="n">
        <v>1.5</v>
      </c>
      <c r="D18" s="196" t="n">
        <v>1</v>
      </c>
    </row>
    <row r="19" customFormat="false" ht="15" hidden="false" customHeight="true" outlineLevel="0" collapsed="false">
      <c r="A19" s="117" t="s">
        <v>130</v>
      </c>
      <c r="B19" s="196" t="n">
        <v>1</v>
      </c>
      <c r="C19" s="196" t="n">
        <v>1</v>
      </c>
      <c r="D19" s="196" t="n">
        <v>1</v>
      </c>
    </row>
    <row r="20" customFormat="false" ht="15" hidden="false" customHeight="true" outlineLevel="0" collapsed="false">
      <c r="A20" s="117" t="s">
        <v>131</v>
      </c>
      <c r="B20" s="196" t="n">
        <v>2.5</v>
      </c>
      <c r="C20" s="196" t="n">
        <v>2</v>
      </c>
      <c r="D20" s="196" t="n">
        <v>1</v>
      </c>
    </row>
    <row r="21" customFormat="false" ht="15" hidden="false" customHeight="true" outlineLevel="0" collapsed="false">
      <c r="A21" s="115" t="s">
        <v>132</v>
      </c>
      <c r="B21" s="196" t="n">
        <v>4</v>
      </c>
      <c r="C21" s="196" t="n">
        <v>3</v>
      </c>
      <c r="D21" s="196" t="n">
        <v>1.5</v>
      </c>
    </row>
    <row r="22" customFormat="false" ht="15" hidden="false" customHeight="true" outlineLevel="0" collapsed="false">
      <c r="A22" s="115" t="s">
        <v>133</v>
      </c>
      <c r="B22" s="196" t="n">
        <v>3.5</v>
      </c>
      <c r="C22" s="196" t="n">
        <v>2.5</v>
      </c>
      <c r="D22" s="196" t="n">
        <v>1</v>
      </c>
    </row>
    <row r="23" customFormat="false" ht="15" hidden="false" customHeight="true" outlineLevel="0" collapsed="false">
      <c r="A23" s="115" t="s">
        <v>134</v>
      </c>
      <c r="B23" s="196" t="n">
        <v>4</v>
      </c>
      <c r="C23" s="196" t="n">
        <v>2.5</v>
      </c>
      <c r="D23" s="196" t="n">
        <v>1</v>
      </c>
    </row>
    <row r="24" customFormat="false" ht="15" hidden="false" customHeight="true" outlineLevel="0" collapsed="false">
      <c r="A24" s="115" t="s">
        <v>135</v>
      </c>
      <c r="B24" s="196" t="n">
        <v>1.5</v>
      </c>
      <c r="C24" s="196" t="n">
        <v>1.5</v>
      </c>
      <c r="D24" s="196" t="n">
        <v>1</v>
      </c>
    </row>
    <row r="25" customFormat="false" ht="15" hidden="false" customHeight="true" outlineLevel="0" collapsed="false">
      <c r="A25" s="115" t="s">
        <v>136</v>
      </c>
      <c r="B25" s="196" t="n">
        <v>3</v>
      </c>
      <c r="C25" s="196" t="n">
        <v>2</v>
      </c>
      <c r="D25" s="196" t="n">
        <v>1</v>
      </c>
    </row>
    <row r="26" customFormat="false" ht="15" hidden="false" customHeight="true" outlineLevel="0" collapsed="false">
      <c r="A26" s="115" t="s">
        <v>137</v>
      </c>
      <c r="B26" s="196" t="n">
        <v>2.5</v>
      </c>
      <c r="C26" s="196" t="n">
        <v>2</v>
      </c>
      <c r="D26" s="196" t="n">
        <v>1</v>
      </c>
    </row>
    <row r="27" customFormat="false" ht="15" hidden="false" customHeight="true" outlineLevel="0" collapsed="false">
      <c r="A27" s="115" t="s">
        <v>138</v>
      </c>
      <c r="B27" s="196" t="n">
        <v>3.5</v>
      </c>
      <c r="C27" s="196" t="n">
        <v>2.5</v>
      </c>
      <c r="D27" s="196" t="n">
        <v>1</v>
      </c>
    </row>
    <row r="28" customFormat="false" ht="15" hidden="false" customHeight="true" outlineLevel="0" collapsed="false">
      <c r="A28" s="115" t="s">
        <v>139</v>
      </c>
      <c r="B28" s="196" t="n">
        <v>1.5</v>
      </c>
      <c r="C28" s="196" t="n">
        <v>1</v>
      </c>
      <c r="D28" s="196" t="n">
        <v>1</v>
      </c>
    </row>
    <row r="29" customFormat="false" ht="15" hidden="false" customHeight="true" outlineLevel="0" collapsed="false">
      <c r="A29" s="115" t="s">
        <v>140</v>
      </c>
      <c r="B29" s="196" t="n">
        <v>1</v>
      </c>
      <c r="C29" s="196" t="n">
        <v>1</v>
      </c>
      <c r="D29" s="196" t="n">
        <v>1</v>
      </c>
    </row>
    <row r="30" customFormat="false" ht="15" hidden="false" customHeight="true" outlineLevel="0" collapsed="false">
      <c r="A30" s="115" t="s">
        <v>141</v>
      </c>
      <c r="B30" s="196" t="n">
        <v>1.5</v>
      </c>
      <c r="C30" s="196" t="n">
        <v>1</v>
      </c>
      <c r="D30" s="196" t="n">
        <v>1</v>
      </c>
    </row>
    <row r="31" customFormat="false" ht="15" hidden="false" customHeight="true" outlineLevel="0" collapsed="false">
      <c r="A31" s="115" t="s">
        <v>142</v>
      </c>
      <c r="B31" s="196" t="n">
        <v>3.5</v>
      </c>
      <c r="C31" s="196" t="n">
        <v>2.5</v>
      </c>
      <c r="D31" s="196" t="n">
        <v>1</v>
      </c>
    </row>
    <row r="32" customFormat="false" ht="15" hidden="false" customHeight="true" outlineLevel="0" collapsed="false">
      <c r="A32" s="117" t="s">
        <v>143</v>
      </c>
      <c r="B32" s="196" t="n">
        <v>1</v>
      </c>
      <c r="C32" s="196" t="n">
        <v>1</v>
      </c>
      <c r="D32" s="196" t="n">
        <v>1</v>
      </c>
    </row>
    <row r="33" customFormat="false" ht="15" hidden="false" customHeight="true" outlineLevel="0" collapsed="false">
      <c r="A33" s="117" t="s">
        <v>144</v>
      </c>
      <c r="B33" s="196" t="n">
        <v>1</v>
      </c>
      <c r="C33" s="196" t="n">
        <v>1</v>
      </c>
      <c r="D33" s="196" t="n">
        <v>1</v>
      </c>
    </row>
    <row r="34" customFormat="false" ht="15" hidden="false" customHeight="true" outlineLevel="0" collapsed="false">
      <c r="A34" s="117" t="s">
        <v>145</v>
      </c>
      <c r="B34" s="196" t="n">
        <v>1.5</v>
      </c>
      <c r="C34" s="196" t="n">
        <v>1</v>
      </c>
      <c r="D34" s="196" t="n">
        <v>1</v>
      </c>
    </row>
    <row r="35" customFormat="false" ht="15" hidden="false" customHeight="true" outlineLevel="0" collapsed="false">
      <c r="A35" s="117" t="s">
        <v>146</v>
      </c>
      <c r="B35" s="196" t="n">
        <v>1.5</v>
      </c>
      <c r="C35" s="196" t="n">
        <v>1</v>
      </c>
      <c r="D35" s="196" t="n">
        <v>1</v>
      </c>
    </row>
    <row r="36" customFormat="false" ht="15" hidden="false" customHeight="true" outlineLevel="0" collapsed="false">
      <c r="A36" s="117" t="s">
        <v>147</v>
      </c>
      <c r="B36" s="196" t="n">
        <v>1.5</v>
      </c>
      <c r="C36" s="196" t="n">
        <v>1</v>
      </c>
      <c r="D36" s="196" t="n">
        <v>1</v>
      </c>
    </row>
    <row r="37" customFormat="false" ht="15" hidden="false" customHeight="true" outlineLevel="0" collapsed="false">
      <c r="A37" s="117" t="s">
        <v>148</v>
      </c>
      <c r="B37" s="196" t="n">
        <v>1</v>
      </c>
      <c r="C37" s="196" t="n">
        <v>1</v>
      </c>
      <c r="D37" s="196" t="n">
        <v>1</v>
      </c>
    </row>
    <row r="38" customFormat="false" ht="15" hidden="false" customHeight="true" outlineLevel="0" collapsed="false">
      <c r="A38" s="115" t="s">
        <v>149</v>
      </c>
      <c r="B38" s="196" t="n">
        <v>3</v>
      </c>
      <c r="C38" s="196" t="n">
        <v>2</v>
      </c>
      <c r="D38" s="196" t="n">
        <v>1</v>
      </c>
    </row>
    <row r="39" customFormat="false" ht="15" hidden="false" customHeight="true" outlineLevel="0" collapsed="false">
      <c r="A39" s="115" t="s">
        <v>150</v>
      </c>
      <c r="B39" s="196" t="n">
        <v>1</v>
      </c>
      <c r="C39" s="196" t="n">
        <v>1</v>
      </c>
      <c r="D39" s="196" t="n">
        <v>1</v>
      </c>
    </row>
    <row r="40" customFormat="false" ht="15" hidden="false" customHeight="true" outlineLevel="0" collapsed="false">
      <c r="A40" s="115" t="s">
        <v>151</v>
      </c>
      <c r="B40" s="196" t="n">
        <v>1</v>
      </c>
      <c r="C40" s="196" t="n">
        <v>1</v>
      </c>
      <c r="D40" s="196" t="n">
        <v>1</v>
      </c>
    </row>
    <row r="41" customFormat="false" ht="15" hidden="false" customHeight="true" outlineLevel="0" collapsed="false">
      <c r="A41" s="115" t="s">
        <v>152</v>
      </c>
      <c r="B41" s="196" t="n">
        <v>1</v>
      </c>
      <c r="C41" s="196" t="n">
        <v>1</v>
      </c>
      <c r="D41" s="196" t="n">
        <v>1</v>
      </c>
    </row>
  </sheetData>
  <conditionalFormatting sqref="B2:D41">
    <cfRule type="cellIs" priority="2" operator="greaterThanOrEqual" aboveAverage="0" equalAverage="0" bottom="0" percent="0" rank="0" text="" dxfId="2">
      <formula>3</formula>
    </cfRule>
    <cfRule type="cellIs" priority="3" operator="greaterThanOrEqual" aboveAverage="0" equalAverage="0" bottom="0" percent="0" rank="0" text="" dxfId="3">
      <formula>2</formula>
    </cfRule>
    <cfRule type="cellIs" priority="4" operator="greaterThanOrEqual" aboveAverage="0" equalAverage="0" bottom="0" percent="0" rank="0" text="" dxfId="4">
      <formula>1</formula>
    </cfRule>
  </conditionalFormatting>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ABAB"/>
    <pageSetUpPr fitToPage="true"/>
  </sheetPr>
  <dimension ref="A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5078125" defaultRowHeight="12.8" zeroHeight="false" outlineLevelRow="0" outlineLevelCol="0"/>
  <sheetData>
    <row r="1"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ADC"/>
    <pageSetUpPr fitToPage="true"/>
  </sheetPr>
  <dimension ref="A1"/>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selection pane="topLeft" activeCell="AO27" activeCellId="0" sqref="AO27"/>
    </sheetView>
  </sheetViews>
  <sheetFormatPr defaultColWidth="8.859375" defaultRowHeight="15" zeroHeight="false" outlineLevelRow="0" outlineLevelCol="0"/>
  <sheetData/>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ADC"/>
    <pageSetUpPr fitToPage="true"/>
  </sheetPr>
  <dimension ref="A1"/>
  <sheetViews>
    <sheetView showFormulas="false" showGridLines="false" showRowColHeaders="true" showZeros="true" rightToLeft="false" tabSelected="false" showOutlineSymbols="true" defaultGridColor="true" view="normal" topLeftCell="A1" colorId="64" zoomScale="25" zoomScaleNormal="25" zoomScalePageLayoutView="100" workbookViewId="0">
      <selection pane="topLeft" activeCell="BH62" activeCellId="0" sqref="BH62"/>
    </sheetView>
  </sheetViews>
  <sheetFormatPr defaultColWidth="8.859375" defaultRowHeight="15" zeroHeight="false" outlineLevelRow="0" outlineLevelCol="0"/>
  <sheetData/>
  <printOptions headings="false" gridLines="false" gridLinesSet="true" horizontalCentered="false" verticalCentered="false"/>
  <pageMargins left="0.25" right="0.25" top="0.75" bottom="0.75" header="0.3" footer="0.3"/>
  <pageSetup paperSize="5" scale="100" fitToWidth="1" fitToHeight="100" pageOrder="downThenOver" orientation="landscape" blackAndWhite="false" draft="false" cellComments="none" horizontalDpi="300" verticalDpi="300" copies="1"/>
  <headerFooter differentFirst="false" differentOddEven="false">
    <oddHeader>&amp;L&amp;10 COBIT® 2019 Governance System Design Toolkit&amp;R &amp;D</oddHeader>
    <oddFooter>&amp;L&amp;10 Copyright ISACA 2018&amp;C&amp;10 &amp;F&amp;R&amp;10 &amp;A—Page &amp;P</oddFooter>
  </headerFooter>
  <colBreaks count="1" manualBreakCount="1">
    <brk id="20" man="true" max="65535" min="0"/>
  </colBreaks>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COBIT® 2019</cp:category>
  <dcterms:created xsi:type="dcterms:W3CDTF">2018-05-27T07:45:25Z</dcterms:created>
  <dc:creator>Dirk Steuperaert</dc:creator>
  <dc:description>Toolkit companion to:_x005F_x000d_
COBIT® 2019 Design Guide: Designing an Information and Technology Governance Solution</dc:description>
  <dc:language>en-US</dc:language>
  <cp:lastModifiedBy/>
  <cp:lastPrinted>2019-11-17T12:20:33Z</cp:lastPrinted>
  <dcterms:modified xsi:type="dcterms:W3CDTF">2026-06-18T07:56:06Z</dcterms:modified>
  <cp:revision>1</cp:revision>
  <dc:subject/>
  <dc:title>COBIT® 2019 Governance System Design Toolkit V1.0</dc:title>
</cp:coreProperties>
</file>

<file path=docProps/custom.xml><?xml version="1.0" encoding="utf-8"?>
<Properties xmlns="http://schemas.openxmlformats.org/officeDocument/2006/custom-properties" xmlns:vt="http://schemas.openxmlformats.org/officeDocument/2006/docPropsVTypes"/>
</file>