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IAN\Downloads\"/>
    </mc:Choice>
  </mc:AlternateContent>
  <xr:revisionPtr revIDLastSave="0" documentId="13_ncr:1_{DF88833E-2441-407A-84B7-0DA2E3CC5208}" xr6:coauthVersionLast="47" xr6:coauthVersionMax="47" xr10:uidLastSave="{00000000-0000-0000-0000-000000000000}"/>
  <bookViews>
    <workbookView xWindow="-120" yWindow="-120" windowWidth="29040" windowHeight="15720" tabRatio="678" firstSheet="1" activeTab="3" xr2:uid="{00000000-000D-0000-FFFF-FFFF00000000}"/>
  </bookViews>
  <sheets>
    <sheet name="Caracterización" sheetId="1" r:id="rId1"/>
    <sheet name="1ra Cascada - Metas Corporativa" sheetId="2" r:id="rId2"/>
    <sheet name="2da Cascada - Metas TI" sheetId="3" r:id="rId3"/>
    <sheet name="3ra Cascada - Procesos COBIT" sheetId="4" r:id="rId4"/>
    <sheet name="Diagnóstico Madurez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4" i="4" l="1"/>
  <c r="J44" i="4"/>
  <c r="I44" i="4"/>
  <c r="H44" i="4"/>
  <c r="G44" i="4"/>
  <c r="F44" i="4"/>
  <c r="E44" i="4"/>
  <c r="D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P11" i="3"/>
  <c r="P10" i="3"/>
  <c r="P9" i="3"/>
  <c r="P8" i="3"/>
  <c r="P7" i="3"/>
  <c r="P6" i="3"/>
  <c r="P5" i="3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P9" i="2"/>
  <c r="P8" i="2"/>
  <c r="P7" i="2"/>
  <c r="P6" i="2"/>
  <c r="P5" i="2"/>
</calcChain>
</file>

<file path=xl/sharedStrings.xml><?xml version="1.0" encoding="utf-8"?>
<sst xmlns="http://schemas.openxmlformats.org/spreadsheetml/2006/main" count="572" uniqueCount="304">
  <si>
    <t>PROYECTO DE GOBIERNO DE TI  |  BCRP  |  COBIT 2019</t>
  </si>
  <si>
    <t>CARACTERIZACIÓN DE LA INSTITUCIÓN Y EL ÁREA DE TI</t>
  </si>
  <si>
    <t>1</t>
  </si>
  <si>
    <t>Razón Social</t>
  </si>
  <si>
    <t>Banco Central de Reserva del Perú – BCRP</t>
  </si>
  <si>
    <t>2</t>
  </si>
  <si>
    <t>Rubro</t>
  </si>
  <si>
    <t>Entidad pública autónoma del Estado peruano encargada de preservar la estabilidad monetaria, regular la moneda y el crédito, administrar las reservas internacionales e informar sobre las finanzas nacionales (Art. 84° Constitución Política del Perú).</t>
  </si>
  <si>
    <t>3</t>
  </si>
  <si>
    <t>Objetivos Estratégicos Institucionales</t>
  </si>
  <si>
    <t>OE1: Mantener la inflación en el rango meta.
OE2: Brindar información macroeconómica de calidad.
OE3: Desarrollar propuestas de reformas para el crecimiento sostenido.
OE4: Promover la estabilidad financiera y sistemas de pagos eficientes.
OE5: Gestión eficiente de reservas internacionales.
OE6: Mejorar la calidad del dinero en circulación.
OE7: Mejorar la comunicación del Banco.
OE8: Asesoría y defensa legal adecuadas.
OE9: Atraer y retener talento profesional.
OE10: Desarrollos informáticos que impulsen la innovación.
OE11: Gestión eficaz del conocimiento.
OE12: Eficiencia en procesos operativos.
OE13: Sistema de información financiera confiable.
OE14: Gestión de riesgos en todos los procesos.</t>
  </si>
  <si>
    <t>4</t>
  </si>
  <si>
    <t>Misión y Visión Institucional</t>
  </si>
  <si>
    <t>Misión: Preservar la estabilidad monetaria.
Visión: Ser reconocidos como un Banco Central autónomo, moderno, modelo de institucionalidad en el país, de primer nivel internacional, con elevada credibilidad y que mantiene la confianza del público en la moneda nacional.</t>
  </si>
  <si>
    <t>5</t>
  </si>
  <si>
    <t>Denominación del Área de TI</t>
  </si>
  <si>
    <t>Gerencia de Tecnologías de Información (GTI)</t>
  </si>
  <si>
    <t>6</t>
  </si>
  <si>
    <t>Ubicación en el Organigrama</t>
  </si>
  <si>
    <t>Área estratégica de soporte dependiente de la Gerencia General del BCRP, con rol habilitador de todos los procesos misionales del Banco, conforme al ROF institucional.</t>
  </si>
  <si>
    <t>7</t>
  </si>
  <si>
    <t>Misión y Visión del Área de TI</t>
  </si>
  <si>
    <t>Misión GTI: Proveer soluciones tecnológicas seguras, confiables e innovadoras que respalden la gestión del BCRP, habilitando el cumplimiento de su finalidad constitucional.
Visión GTI: Ser el área tecnológica de referencia en la banca central latinoamericana, reconocida por su excelencia en servicios digitales seguros y su contribución estratégica al posicionamiento del BCRP.</t>
  </si>
  <si>
    <t>8</t>
  </si>
  <si>
    <t>Objetivos Específicos del Área de TI</t>
  </si>
  <si>
    <t>- Modernizar el Sistema LBTR y el SIMC para garantizar continuidad en pagos interbancarios.
- Implementar el tercer data center para redundancia geográfica plena.
- Fortalecer la ciberseguridad activa (HSM, MDM, VPN doble factor, SIEM).
- Desplegar infraestructura de big data e IA en gerencias misionales.
- Completar el despliegue de Office 365 e Intranet colaborativa.
- Implementar el Observatorio Tecnológico CBDC.</t>
  </si>
  <si>
    <t>9</t>
  </si>
  <si>
    <t>Estructura Organizacional del Área de TI</t>
  </si>
  <si>
    <t>- Gerente de Tecnologías de Información (CIO).
- Unidad de Infraestructura y Data Centers.
- Unidad de Seguridad de la Información y Ciberseguridad.
- Unidad de Desarrollo de Sistemas (LBTR, SIMC, Portal Web).
- Unidad de Soporte Técnico y Mesa de Ayuda.
- Unidad de Datos y Analítica (Big Data, Datamarts).</t>
  </si>
  <si>
    <t>10</t>
  </si>
  <si>
    <t>Funciones de las Unidades (ROF/MOF)</t>
  </si>
  <si>
    <t>Infraestructura: administrar data centers, redes y sistemas críticos (LBTR, SIMC, SWIFT).
Seguridad: gestionar ciberseguridad, cumplimiento ISO 27001 y estándares SWIFT.
Desarrollo: construir y mantener sistemas institucionales y el nuevo LBTR.
Soporte: atención a usuarios internos y continuidad operativa.
Datos: gestionar datamarts, big data e IA para gerencias misionales.</t>
  </si>
  <si>
    <t>11</t>
  </si>
  <si>
    <t>Funciones sin CAP</t>
  </si>
  <si>
    <t>- Gestión del Observatorio Tecnológico CBDC.
- Coordinación de proyectos del PETI 2022-2026.
- Gestión del cambio organizacional para adopción del EGIT COBIT 2019.</t>
  </si>
  <si>
    <t>12</t>
  </si>
  <si>
    <t>5 Principales Necesidades de TI (Marco Gobierno de TI)</t>
  </si>
  <si>
    <t>1. Modernización urgente del Sistema LBTR bajo estándares ISO 20022 y alta disponibilidad ≥99.9%.
2. Implementación del tercer data center para redundancia geográfica plena (brecha ALTA - PETI).
3. Fortalecimiento de ciberseguridad activa: HSM, MDM, VPN doble factor, SIEM e ISO 27001.
4. Despliegue completo de infraestructura big data e IA para política monetaria y reservas internacionales.
5. Institucionalización del Gobierno de TI (EGIT) bajo COBIT 2019 con Comité formal y KPIs reportados al Directorio.</t>
  </si>
  <si>
    <t>13</t>
  </si>
  <si>
    <t>4 Contribuciones del Área de TI a los OEI</t>
  </si>
  <si>
    <t>1. Soporte tecnológico al sistema de pagos interbancario (LBTR) que garantiza la estabilidad financiera nacional (OE4).
2. Infraestructura de big data y analítica avanzada para modelos de proyección macroeconómica y política monetaria (OE1, OE2).
3. Gestión de ciberseguridad y continuidad operativa que protege los sistemas críticos del BCRP y la confianza en la moneda (OE14).
4. Habilitación tecnológica de la gestión del conocimiento, talento humano y comunicación institucional (OE9, OE11, OE7).</t>
  </si>
  <si>
    <t>FASE 4 – PRIMERA CASCADA: OBJETIVOS INSTITUCIONALES BCRP vs. METAS CORPORATIVAS COBIT 2019</t>
  </si>
  <si>
    <t>Escala: 0 = Sin relación  |  1 = Relación secundaria  |  2 = Relación primaria  |  Prioridad Alta ≥ 6  |  Media 4-5  |  Baja 0-3</t>
  </si>
  <si>
    <t>DIMENSIÓN CMI →</t>
  </si>
  <si>
    <t>FINANCIERA</t>
  </si>
  <si>
    <t>CLIENTE</t>
  </si>
  <si>
    <t>INTERNA</t>
  </si>
  <si>
    <t>APRENDIZAJE Y
CRECIMIENTO</t>
  </si>
  <si>
    <t>ID / OBJETIVOS INSTITUCIONALES BCRP</t>
  </si>
  <si>
    <t>EG01
Portafolio de productos y servicios competitivos</t>
  </si>
  <si>
    <t>EG02
Riesgos de negocio gestionado</t>
  </si>
  <si>
    <t>EG03
Cumplimiento con leyes externas y regulaciones</t>
  </si>
  <si>
    <t>EG04
Calidad de la información financiera</t>
  </si>
  <si>
    <t>EG05
Cultura de servicio orientada al cliente</t>
  </si>
  <si>
    <t>EG06
Continuidad y disponibilidad del servicio del negocio</t>
  </si>
  <si>
    <t>EG07
Calidad de la información gerencial</t>
  </si>
  <si>
    <t>EG08
Optimización de los procesos internos del negocio</t>
  </si>
  <si>
    <t>EG09
Optimización de los costos de los procesos del negocio</t>
  </si>
  <si>
    <t>EG10
Habilidades, motivación y productividad del personal</t>
  </si>
  <si>
    <t>EG11
Cumplimiento con políticas internas</t>
  </si>
  <si>
    <t>EG12
Programas de transformación digital gestionados</t>
  </si>
  <si>
    <t>EG13
Innovación de los productos y del negocio</t>
  </si>
  <si>
    <t>PUNTUACIÓN
TOTAL</t>
  </si>
  <si>
    <t>OBJ 01</t>
  </si>
  <si>
    <t>OE4 – Promover estabilidad financiera y sistemas de pagos eficientes</t>
  </si>
  <si>
    <t>OBJ 02</t>
  </si>
  <si>
    <t>OE10 – Desarrollos informáticos que impulsen la innovación</t>
  </si>
  <si>
    <t>OBJ 03</t>
  </si>
  <si>
    <t>OE14 – Desplegar la gestión de riesgos a todos los procesos</t>
  </si>
  <si>
    <t>OBJ 04</t>
  </si>
  <si>
    <t>OE1/OE5 – Mantener inflación en rango meta y gestión eficiente de reservas</t>
  </si>
  <si>
    <t>OBJ 05</t>
  </si>
  <si>
    <t>OE9 – Crear condiciones para atraer y retener talento profesional</t>
  </si>
  <si>
    <t>PUNTUACIÓN TOTAL POR META CORPORATIVA</t>
  </si>
  <si>
    <t>TOTAL</t>
  </si>
  <si>
    <t>PRIORIDAD (Alta ≥6 | Media 4-5 | Baja ≤3)</t>
  </si>
  <si>
    <t>Alta</t>
  </si>
  <si>
    <t>Media</t>
  </si>
  <si>
    <t>Baja</t>
  </si>
  <si>
    <t>METAS CORPORATIVAS COBIT PRIORIZADAS PARA EL BCRP (seleccionadas para la 2da Cascada)</t>
  </si>
  <si>
    <t>PRIORIDAD</t>
  </si>
  <si>
    <t>CMI</t>
  </si>
  <si>
    <t>META CORPORATIVA</t>
  </si>
  <si>
    <t>PUNTAJE</t>
  </si>
  <si>
    <t>JUSTIFICACIÓN BCRP</t>
  </si>
  <si>
    <t>EG06 – Continuidad y disponibilidad del servicio del negocio</t>
  </si>
  <si>
    <t>El LBTR, SIMC y SWIFT son servicios críticos que deben operar 24/7. Cualquier interrupción afecta la estabilidad monetaria del país (OE4, OE10). Brecha ALTA identificada en el PETI.</t>
  </si>
  <si>
    <t>EG08 – Optimización de los procesos internos del negocio</t>
  </si>
  <si>
    <t>Los procesos de política monetaria, reservas internacionales y circulante dependen de sistemas TI integrados y eficientes. La modernización del LBTR y SIMC es urgente (OE4, OE10).</t>
  </si>
  <si>
    <t>EG11 – Cumplimiento con políticas internas</t>
  </si>
  <si>
    <t>El BCRP debe cumplir estándares SWIFT, ISO 27001 y normativas del BIS. Sin EGIT formal, el cumplimiento no es sistemático ni verificable (OE14).</t>
  </si>
  <si>
    <t>APRENDIZAJE</t>
  </si>
  <si>
    <t>EG12 – Programas de transformación digital gestionados</t>
  </si>
  <si>
    <t>El PETI 2022-2026 es el programa de transformación digital del BCRP. Implementar COBIT 2019 asegura gobernanza estructurada para los 10 proyectos estratégicos (OE10, OE9).</t>
  </si>
  <si>
    <t>EG07 – Calidad de la información gerencial</t>
  </si>
  <si>
    <t>El Directorio necesita información macroeconómica precisa para decisiones de política monetaria. Los datamarts y big data son críticos para esta dimensión (OE1, OE5).</t>
  </si>
  <si>
    <t>EG02 – Riesgos de negocio gestionado</t>
  </si>
  <si>
    <t>Los riesgos de ciberataques (APT, ransomware, fraude SWIFT) y la ausencia del tercer DC son críticos. Brecha ALTA en ciberseguridad identificada en el PETI (OE14).</t>
  </si>
  <si>
    <t>EG03 – Cumplimiento con leyes externas y regulaciones</t>
  </si>
  <si>
    <t>El BCRP opera bajo Ley Orgánica, normas BIS, estándares SWIFT y regulaciones financieras internacionales. El EGIT formaliza el cumplimiento normativo tecnológico (OE14).</t>
  </si>
  <si>
    <t>FASE 4 – SEGUNDA CASCADA: METAS CORPORATIVAS PRIORIZADAS vs. METAS DE ALINEACIÓN DE TI (COBIT 2019)</t>
  </si>
  <si>
    <t>METAS CORPORATIVAS PRIORIZADAS BCRP</t>
  </si>
  <si>
    <t>AG01
Cumplimiento y soporte de TI con leyes y regulaciones externas</t>
  </si>
  <si>
    <t>AG02
Riesgos relacionados con TI gestionado</t>
  </si>
  <si>
    <t>AG03
Beneficios de inversiones habilitadas por TI</t>
  </si>
  <si>
    <t>AG04
Calidad de información financiera relacionada con TI</t>
  </si>
  <si>
    <t>AG05
Entrega de servicios TI en línea con requerimientos del negocio</t>
  </si>
  <si>
    <t>AG06
Agilidad para convertir requerimientos en soluciones operativas</t>
  </si>
  <si>
    <t>AG07
Seguridad de información, infraestructura y privacidad</t>
  </si>
  <si>
    <t>AG08
Habilitar y soportar procesos mediante integración de aplicaciones</t>
  </si>
  <si>
    <t>AG09
Entrega de programas en tiempo, presupuesto y estándares de calidad</t>
  </si>
  <si>
    <t>AG10
Calidad de información de la gerencia de TI</t>
  </si>
  <si>
    <t>AG11
Cumplimiento de TI con políticas internas</t>
  </si>
  <si>
    <t>AG12
Personal competente y motivado con entendimiento de negocio y TI</t>
  </si>
  <si>
    <t>AG13
Conocimiento, experiencia e iniciativas para innovación del negocio</t>
  </si>
  <si>
    <t>PUNTUACIÓN TOTAL POR META DE TI</t>
  </si>
  <si>
    <t>METAS DE ALINEACIÓN DE TI PRIORIZADAS PARA EL BCRP (seleccionadas para la 3ra Cascada)</t>
  </si>
  <si>
    <t>META DE TI</t>
  </si>
  <si>
    <t>AG07 – Seguridad de la información, infraestructura y privacidad</t>
  </si>
  <si>
    <t>El BCRP maneja información financiera crítica y sistemas de pagos nacionales. Ciberseguridad activa (HSM, MDM, SIEM) es urgente. Brecha ALTA en el PETI. Afecta OE14 y OE4.</t>
  </si>
  <si>
    <t>AG08 – Habilitar y soportar procesos mediante integración de aplicaciones</t>
  </si>
  <si>
    <t>Los procesos de política monetaria, reservas y circulante dependen de la integración del LBTR, SIMC, SWIFT y datamarts. Sin integración no hay analítica en tiempo real (OE1, OE4).</t>
  </si>
  <si>
    <t>AG05 – Entrega de servicios TI en línea con requerimientos del negocio</t>
  </si>
  <si>
    <t>Las gerencias misionales (GOMEF, Estudios, Reservas) necesitan servicios TI confiables y disponibles 24/7 para cumplir la misión constitucional del BCRP (OE4, OE10).</t>
  </si>
  <si>
    <t>AG06 – Agilidad para convertir requerimientos en soluciones operativas</t>
  </si>
  <si>
    <t>El entorno financiero y tecnológico cambia rápido (CBDC, fintech, regulaciones). La GTI debe responder ágilmente para mantener al BCRP como banco central moderno (OE10, OE4).</t>
  </si>
  <si>
    <t>AG09 – Entrega de programas en tiempo, presupuesto y estándares de calidad</t>
  </si>
  <si>
    <t>El portafolio de 10 proyectos del PETI 2022-2026 debe ejecutarse con gobernanza, control y medición. Sin EGIT formal los proyectos no tienen seguimiento estructurado (OE10).</t>
  </si>
  <si>
    <t>AG11 – Cumplimiento de TI con políticas internas</t>
  </si>
  <si>
    <t>El BCRP debe cumplir estándares SWIFT CSP, ISO 27001 y normativas del BIS. TI debe asegurar que los sistemas cumplan estas políticas en todos los procesos (OE14).</t>
  </si>
  <si>
    <t>AG02 – Riesgos relacionados con TI gestionado</t>
  </si>
  <si>
    <t>Ciberataques al LBTR, SIMC y SWIFT representan riesgos críticos al sistema financiero nacional. La gestión formal de riesgos TI es indispensable para el BCRP (OE14).</t>
  </si>
  <si>
    <t>AG12 – Personal competente y motivado con entendimiento de negocio y TI</t>
  </si>
  <si>
    <t>El BCRP necesita personal TI altamente calificado para operar sistemas críticos. La intranet colaborativa y la Escuela de Capacitación apoyan esta meta (OE9, OE11).</t>
  </si>
  <si>
    <t>FASE 4 – TERCERA CASCADA: METAS DE TI PRIORIZADAS vs. 40 PROCESOS COBIT 2019</t>
  </si>
  <si>
    <t>Escala: 0 = Sin relación  |  1 = Relación secundaria  |  2 = Relación primaria</t>
  </si>
  <si>
    <t>PROCESOS COBIT 2019 (40 procesos)</t>
  </si>
  <si>
    <t>AG07
Seguridad información e infraestructura</t>
  </si>
  <si>
    <t>AG08
Integración aplicaciones y procesos</t>
  </si>
  <si>
    <t>AG05
Entrega servicios TI en línea con negocio</t>
  </si>
  <si>
    <t>AG06
Agilidad para soluciones operativas</t>
  </si>
  <si>
    <t>AG09
Programas en tiempo y presupuesto</t>
  </si>
  <si>
    <t>AG11
Cumplimiento TI con políticas internas</t>
  </si>
  <si>
    <t>AG02
Riesgos TI gestionados</t>
  </si>
  <si>
    <t>AG12
Personal competente y motivado</t>
  </si>
  <si>
    <t>NIVEL
MADUREZ
ACTUAL</t>
  </si>
  <si>
    <t>EDM</t>
  </si>
  <si>
    <t>EDM01</t>
  </si>
  <si>
    <t>Garantizar el establecimiento y mantenimiento del marco de gobierno</t>
  </si>
  <si>
    <t>Nivel 1
Inicial</t>
  </si>
  <si>
    <t>EDM02</t>
  </si>
  <si>
    <t>Asegurar la realización de beneficios</t>
  </si>
  <si>
    <t>EDM03</t>
  </si>
  <si>
    <t>Asegurar la optimización del riesgo</t>
  </si>
  <si>
    <t>Nivel 2
Gestionado</t>
  </si>
  <si>
    <t>EDM04</t>
  </si>
  <si>
    <t>Asegurar la optimización de los recursos</t>
  </si>
  <si>
    <t>EDM05</t>
  </si>
  <si>
    <t>Asegurar la transparencia de las partes interesadas</t>
  </si>
  <si>
    <t>APO</t>
  </si>
  <si>
    <t>APO01</t>
  </si>
  <si>
    <t>Gestionar el marco de gestión de TI</t>
  </si>
  <si>
    <t>APO02</t>
  </si>
  <si>
    <t>Gestionar la estrategia</t>
  </si>
  <si>
    <t>APO03</t>
  </si>
  <si>
    <t>Gestionar la arquitectura empresarial</t>
  </si>
  <si>
    <t>APO04</t>
  </si>
  <si>
    <t>Gestionar la innovación</t>
  </si>
  <si>
    <t>APO05</t>
  </si>
  <si>
    <t>Gestionar el portafolio</t>
  </si>
  <si>
    <t>APO06</t>
  </si>
  <si>
    <t>Gestionar el presupuesto y los costos</t>
  </si>
  <si>
    <t>APO07</t>
  </si>
  <si>
    <t>Gestionar los recursos humanos</t>
  </si>
  <si>
    <t>APO08</t>
  </si>
  <si>
    <t>Gestionar las relaciones</t>
  </si>
  <si>
    <t>APO09</t>
  </si>
  <si>
    <t>Gestionar los acuerdos de servicio</t>
  </si>
  <si>
    <t>APO10</t>
  </si>
  <si>
    <t>Gestionar los proveedores</t>
  </si>
  <si>
    <t>APO11</t>
  </si>
  <si>
    <t>Gestionar la calidad</t>
  </si>
  <si>
    <t>APO12</t>
  </si>
  <si>
    <t>Gestionar el riesgo</t>
  </si>
  <si>
    <t>APO13</t>
  </si>
  <si>
    <t>Gestionar la seguridad</t>
  </si>
  <si>
    <t>APO14</t>
  </si>
  <si>
    <t>Gestionar los datos</t>
  </si>
  <si>
    <t>BAI</t>
  </si>
  <si>
    <t>BAI01</t>
  </si>
  <si>
    <t>Gestionar los programas</t>
  </si>
  <si>
    <t>BAI02</t>
  </si>
  <si>
    <t>Gestionar la definición de requisitos</t>
  </si>
  <si>
    <t>BAI03</t>
  </si>
  <si>
    <t>Gestionar la identificación y construcción de soluciones</t>
  </si>
  <si>
    <t>BAI04</t>
  </si>
  <si>
    <t>Gestionar la disponibilidad y capacidad</t>
  </si>
  <si>
    <t>BAI05</t>
  </si>
  <si>
    <t>Gestionar los cambios organizativos</t>
  </si>
  <si>
    <t>BAI06</t>
  </si>
  <si>
    <t>Gestionar los cambios de TI</t>
  </si>
  <si>
    <t>BAI07</t>
  </si>
  <si>
    <t>Gestionar la aceptación y transición de cambios TI</t>
  </si>
  <si>
    <t>BAI08</t>
  </si>
  <si>
    <t>Gestionar el conocimiento</t>
  </si>
  <si>
    <t>BAI09</t>
  </si>
  <si>
    <t>Gestionar los activos</t>
  </si>
  <si>
    <t>BAI10</t>
  </si>
  <si>
    <t>Gestionar la configuración</t>
  </si>
  <si>
    <t>BAI11</t>
  </si>
  <si>
    <t>Gestionar los proyectos</t>
  </si>
  <si>
    <t>DSS</t>
  </si>
  <si>
    <t>DSS01</t>
  </si>
  <si>
    <t>Gestionar las operaciones</t>
  </si>
  <si>
    <t>DSS02</t>
  </si>
  <si>
    <t>Gestionar las solicitudes e incidentes de servicio</t>
  </si>
  <si>
    <t>DSS03</t>
  </si>
  <si>
    <t>Gestionar los problemas</t>
  </si>
  <si>
    <t>DSS04</t>
  </si>
  <si>
    <t>Gestionar la continuidad</t>
  </si>
  <si>
    <t>DSS05</t>
  </si>
  <si>
    <t>Gestionar los servicios de seguridad</t>
  </si>
  <si>
    <t>DSS06</t>
  </si>
  <si>
    <t>Gestionar los controles de procesos del negocio</t>
  </si>
  <si>
    <t>MEA</t>
  </si>
  <si>
    <t>MEA01</t>
  </si>
  <si>
    <t>Gestionar la supervisión del rendimiento y conformidad</t>
  </si>
  <si>
    <t>MEA02</t>
  </si>
  <si>
    <t>Gestionar el sistema de control interno</t>
  </si>
  <si>
    <t>MEA03</t>
  </si>
  <si>
    <t>Gestionar el cumplimiento de requisitos externos</t>
  </si>
  <si>
    <t>MEA04</t>
  </si>
  <si>
    <t>Gestionar el aseguramiento</t>
  </si>
  <si>
    <t>PROCESOS COBIT 2019 PRIORIZADOS PARA EL BCRP (Nivel de madurez actual → meta Nivel 3)</t>
  </si>
  <si>
    <t>DOM</t>
  </si>
  <si>
    <t>PROCESO</t>
  </si>
  <si>
    <t>DESCRIPCIÓN</t>
  </si>
  <si>
    <t>MAD.
ACTUAL</t>
  </si>
  <si>
    <t>META</t>
  </si>
  <si>
    <t>BRECHA IDENTIFICADA (GAP) – BCRP</t>
  </si>
  <si>
    <t>Gestionar servicios de seguridad</t>
  </si>
  <si>
    <t>Nivel 2</t>
  </si>
  <si>
    <t>Nivel 3</t>
  </si>
  <si>
    <t>Controles básicos implementados pero insuficientes ante APT, ransomware y ataques SWIFT. Se necesita HSM, MDM, SIEM y certificación ISO 27001 activa (OE14, OE10).</t>
  </si>
  <si>
    <t>Dos data centers sin redundancia geográfica plena. Ausencia del tercer DC genera riesgo de indisponibilidad total del LBTR, SIMC y SWIFT (OE10, OE12).</t>
  </si>
  <si>
    <t>Políticas de seguridad no formalizadas bajo ISO 27001. Estándares SWIFT y BIS requieren cumplimiento certificado que aún no se ha alcanzado plenamente (OE14).</t>
  </si>
  <si>
    <t>Gestión de riesgos TI no desplegada en todos los procesos del Banco. El OE14 exige este despliegue transversal incluyendo BIA actualizado y ejercicios BCP.</t>
  </si>
  <si>
    <t>Gestionar construcción de soluciones</t>
  </si>
  <si>
    <t>LBTR y SIMC requieren modernización urgente. Las soluciones deben cumplir estándares ISO 20022, alta disponibilidad ≥99.9% y arquitectura de microservicios.</t>
  </si>
  <si>
    <t>Operaciones críticas (LBTR, SIMC, SWIFT) son funcionales pero sin procesos formalizados, documentados y con SLAs definidos bajo COBIT 2019 (OE4, OE10).</t>
  </si>
  <si>
    <t>Nivel 1</t>
  </si>
  <si>
    <t>Observatorio Tecnológico CBDC no operativo. Big data e IA en desarrollo. El BCRP necesita capacidad formal de innovación TI para mantener posición de primer nivel (OE10).</t>
  </si>
  <si>
    <t>Asegurar optimización del riesgo</t>
  </si>
  <si>
    <t>Sin EGIT formal, el Directorio no tiene mecanismo estructurado para evaluar, dirigir y monitorear los riesgos tecnológicos institucionales (OE14).</t>
  </si>
  <si>
    <t>Gestionar cumplimiento requisitos externos</t>
  </si>
  <si>
    <t>Cumplimiento SWIFT, ISO 27001 y BIS vigente pero sin certificación formal completa ni mecanismos sistemáticos de verificación y reporte al Directorio (OE14).</t>
  </si>
  <si>
    <t>Bases de datos estadísticas (balanza de pagos, mercado laboral) no completamente integradas. Datamarts parciales limitan analítica macroeconómica en tiempo real (OE1, OE2).</t>
  </si>
  <si>
    <t>DIAGNÓSTICO DE MADUREZ COBIT 2019 – BCRP  |  Escala 0 (Incompleto) → 5 (Optimizado)</t>
  </si>
  <si>
    <t>Meta institucional: alcanzar Nivel 3 (Definido) en todos los procesos críticos | Situación actual: Nivel 2 (Gestionado) con brechas críticas</t>
  </si>
  <si>
    <t>ESCALA DE MADUREZ COBIT 2019</t>
  </si>
  <si>
    <t>Nivel 0</t>
  </si>
  <si>
    <t>Incompleto</t>
  </si>
  <si>
    <t>El proceso no existe o no se realiza.</t>
  </si>
  <si>
    <t>Ejecutado / Inicial</t>
  </si>
  <si>
    <t>Se realiza algo básico pero de forma informal, sin planificación.</t>
  </si>
  <si>
    <t>Gestionado</t>
  </si>
  <si>
    <t>Hay planificación y repetición, pero sin documentación formal ni estandarización.</t>
  </si>
  <si>
    <t>Definido (META BCRP)</t>
  </si>
  <si>
    <t>Proceso documentado, estandarizado, con responsables asignados y seguimiento. ← OBJETIVO</t>
  </si>
  <si>
    <t>Nivel 4</t>
  </si>
  <si>
    <t>Cuantitativamente Gestionado</t>
  </si>
  <si>
    <t>Se mide con indicadores avanzados y se controla estadísticamente.</t>
  </si>
  <si>
    <t>Nivel 5</t>
  </si>
  <si>
    <t>Optimizado</t>
  </si>
  <si>
    <t>Mejora continua, innovación permanente y benchmarking internacional.</t>
  </si>
  <si>
    <t>NIVEL
ACTUAL</t>
  </si>
  <si>
    <t>NIVEL
META</t>
  </si>
  <si>
    <t>BRECHA</t>
  </si>
  <si>
    <t>SUSTENTO / EVIDENCIA (PETI BCRP 2022-2026 / Plan Estratégico BCRP)</t>
  </si>
  <si>
    <t>Marco de gobierno</t>
  </si>
  <si>
    <t>+2</t>
  </si>
  <si>
    <t>ALTA</t>
  </si>
  <si>
    <t>No existe EGIT formal bajo COBIT 2019. Decisiones TI sin marco EDM estructurado. Sin Comité de Gobierno constituido formalmente (PETI p.1, OE14).</t>
  </si>
  <si>
    <t>Optimización del riesgo</t>
  </si>
  <si>
    <t>Gestión de riesgos TI no institucionalizada formalmente. El OE14 del Plan Estratégico exige despliegue a todos los procesos del Banco.</t>
  </si>
  <si>
    <t>+1</t>
  </si>
  <si>
    <t>Controles básicos implementados pero gestión de riesgos TI no desplegada transversalmente. BIA requiere actualización (OE14, PETI p.9).</t>
  </si>
  <si>
    <t>Ciberseguridad con controles básicos. Brecha ALTA: sin HSM activo, MDM, SIEM ni certificación ISO 27001 completa (PETI p.9, OE10-c).</t>
  </si>
  <si>
    <t>MEDIA-ALTA</t>
  </si>
  <si>
    <t>Bases de datos sectoriales sin integración plena. Datamarts parciales. Brecha ALTA para analítica macroeconómica en tiempo real (PETI p.10).</t>
  </si>
  <si>
    <t>Observatorio CBDC no operativo. Big data e IA en desarrollo. Sin proceso formal de gestión de innovación TI en el BCRP (OE10, PETI p.1).</t>
  </si>
  <si>
    <t>Construcción de soluciones</t>
  </si>
  <si>
    <t>LBTR y SIMC operativos pero con tecnología desactualizada. Modernización urgente bajo ISO 20022 y alta disponibilidad ≥99.9% (OE4, PETI p.8).</t>
  </si>
  <si>
    <t>Disponibilidad y capacidad</t>
  </si>
  <si>
    <t>Solo dos data centers sin redundancia geográfica plena. Ausencia del tercer DC es brecha ALTA de continuidad operativa (OE10, OE12, PETI p.9).</t>
  </si>
  <si>
    <t>Gestionar operaciones</t>
  </si>
  <si>
    <t>Operaciones LBTR, SIMC y SWIFT funcionales pero sin SLAs formalizados ni procesos documentados bajo COBIT 2019 (OE4, OE10).</t>
  </si>
  <si>
    <t>Mecanismos de contingencia parcialmente implementados. BCP requiere formalización y pruebas periódicas. Sin tercer DC la continuidad es incompleta (OE12).</t>
  </si>
  <si>
    <t>Servicios de seguridad</t>
  </si>
  <si>
    <t>Controles básicos SWIFT vigentes pero insuficientes ante APT y ransomware. Brecha ALTA: HSM-LBTR, MDM, VPN doble factor pendientes (PETI p.9, OE10-c).</t>
  </si>
  <si>
    <t>Supervisión rendimiento</t>
  </si>
  <si>
    <t>Sin KPIs formales del EGIT ni Dashboard de monitoreo reportado al Directorio. Indicadores básicos del PETI pero sin sistema formal de gobierno (OE14).</t>
  </si>
  <si>
    <t>Cumplimiento externo</t>
  </si>
  <si>
    <t>Cumplimiento SWIFT y BIS vigente pero sin certificación ISO 27001 formal completa ni mecanismos sistemáticos de reporte de cumplimiento al Directorio (OE14).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</si>
</sst>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C9A84C"/>
      <name val="Arial"/>
      <charset val="1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C9A84C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C9A84C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70AD47"/>
        <bgColor rgb="FF99CC00"/>
      </patternFill>
    </fill>
    <fill>
      <patternFill patternType="solid">
        <fgColor rgb="FF7030A0"/>
        <bgColor rgb="FF993366"/>
      </patternFill>
    </fill>
    <fill>
      <patternFill patternType="solid">
        <fgColor rgb="FFC9A84C"/>
        <bgColor rgb="FFF4B942"/>
      </patternFill>
    </fill>
    <fill>
      <patternFill patternType="solid">
        <fgColor rgb="FFFFD966"/>
        <bgColor rgb="FFF4B942"/>
      </patternFill>
    </fill>
    <fill>
      <patternFill patternType="solid">
        <fgColor rgb="FFFF7575"/>
        <bgColor rgb="FFFF99CC"/>
      </patternFill>
    </fill>
    <fill>
      <patternFill patternType="solid">
        <fgColor rgb="FFF4B942"/>
        <bgColor rgb="FFC9A84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11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7575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4B942"/>
      <rgbColor rgb="FFC9A84C"/>
      <rgbColor rgb="FFFF6600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zoomScaleNormal="100" workbookViewId="0"/>
  </sheetViews>
  <sheetFormatPr baseColWidth="10" defaultColWidth="8.7109375" defaultRowHeight="15" x14ac:dyDescent="0.25"/>
  <cols>
    <col min="1" max="1" width="5" customWidth="1"/>
    <col min="2" max="2" width="40" customWidth="1"/>
    <col min="3" max="3" width="70" customWidth="1"/>
  </cols>
  <sheetData>
    <row r="1" spans="1:3" ht="34.5" customHeight="1" x14ac:dyDescent="0.25">
      <c r="A1" s="14" t="s">
        <v>0</v>
      </c>
      <c r="B1" s="14"/>
      <c r="C1" s="14"/>
    </row>
    <row r="2" spans="1:3" ht="24.75" customHeight="1" x14ac:dyDescent="0.25">
      <c r="A2" s="13" t="s">
        <v>1</v>
      </c>
      <c r="B2" s="13"/>
      <c r="C2" s="13"/>
    </row>
    <row r="3" spans="1:3" ht="60" customHeight="1" x14ac:dyDescent="0.25">
      <c r="A3" s="15" t="s">
        <v>2</v>
      </c>
      <c r="B3" s="16" t="s">
        <v>3</v>
      </c>
      <c r="C3" s="17" t="s">
        <v>4</v>
      </c>
    </row>
    <row r="4" spans="1:3" ht="82.5" customHeight="1" x14ac:dyDescent="0.25">
      <c r="A4" s="15" t="s">
        <v>5</v>
      </c>
      <c r="B4" s="16" t="s">
        <v>6</v>
      </c>
      <c r="C4" s="17" t="s">
        <v>7</v>
      </c>
    </row>
    <row r="5" spans="1:3" ht="234" customHeight="1" x14ac:dyDescent="0.25">
      <c r="A5" s="15" t="s">
        <v>8</v>
      </c>
      <c r="B5" s="16" t="s">
        <v>9</v>
      </c>
      <c r="C5" s="17" t="s">
        <v>10</v>
      </c>
    </row>
    <row r="6" spans="1:3" ht="88.5" customHeight="1" x14ac:dyDescent="0.25">
      <c r="A6" s="15" t="s">
        <v>11</v>
      </c>
      <c r="B6" s="16" t="s">
        <v>12</v>
      </c>
      <c r="C6" s="17" t="s">
        <v>13</v>
      </c>
    </row>
    <row r="7" spans="1:3" ht="60" customHeight="1" x14ac:dyDescent="0.25">
      <c r="A7" s="15" t="s">
        <v>14</v>
      </c>
      <c r="B7" s="16" t="s">
        <v>15</v>
      </c>
      <c r="C7" s="17" t="s">
        <v>16</v>
      </c>
    </row>
    <row r="8" spans="1:3" ht="60" customHeight="1" x14ac:dyDescent="0.25">
      <c r="A8" s="15" t="s">
        <v>17</v>
      </c>
      <c r="B8" s="16" t="s">
        <v>18</v>
      </c>
      <c r="C8" s="17" t="s">
        <v>19</v>
      </c>
    </row>
    <row r="9" spans="1:3" ht="126" customHeight="1" x14ac:dyDescent="0.25">
      <c r="A9" s="15" t="s">
        <v>20</v>
      </c>
      <c r="B9" s="16" t="s">
        <v>21</v>
      </c>
      <c r="C9" s="17" t="s">
        <v>22</v>
      </c>
    </row>
    <row r="10" spans="1:3" ht="138.75" customHeight="1" x14ac:dyDescent="0.25">
      <c r="A10" s="15" t="s">
        <v>23</v>
      </c>
      <c r="B10" s="16" t="s">
        <v>24</v>
      </c>
      <c r="C10" s="17" t="s">
        <v>25</v>
      </c>
    </row>
    <row r="11" spans="1:3" ht="102" customHeight="1" x14ac:dyDescent="0.25">
      <c r="A11" s="15" t="s">
        <v>26</v>
      </c>
      <c r="B11" s="16" t="s">
        <v>27</v>
      </c>
      <c r="C11" s="17" t="s">
        <v>28</v>
      </c>
    </row>
    <row r="12" spans="1:3" ht="124.5" customHeight="1" x14ac:dyDescent="0.25">
      <c r="A12" s="15" t="s">
        <v>29</v>
      </c>
      <c r="B12" s="16" t="s">
        <v>30</v>
      </c>
      <c r="C12" s="17" t="s">
        <v>31</v>
      </c>
    </row>
    <row r="13" spans="1:3" ht="60" customHeight="1" x14ac:dyDescent="0.25">
      <c r="A13" s="15" t="s">
        <v>32</v>
      </c>
      <c r="B13" s="16" t="s">
        <v>33</v>
      </c>
      <c r="C13" s="17" t="s">
        <v>34</v>
      </c>
    </row>
    <row r="14" spans="1:3" ht="169.5" customHeight="1" x14ac:dyDescent="0.25">
      <c r="A14" s="15" t="s">
        <v>35</v>
      </c>
      <c r="B14" s="16" t="s">
        <v>36</v>
      </c>
      <c r="C14" s="17" t="s">
        <v>37</v>
      </c>
    </row>
    <row r="15" spans="1:3" ht="165.75" customHeight="1" x14ac:dyDescent="0.25">
      <c r="A15" s="15" t="s">
        <v>38</v>
      </c>
      <c r="B15" s="16" t="s">
        <v>39</v>
      </c>
      <c r="C15" s="17" t="s">
        <v>40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showGridLines="0" topLeftCell="A14" zoomScaleNormal="100" workbookViewId="0">
      <selection sqref="A1:P1"/>
    </sheetView>
  </sheetViews>
  <sheetFormatPr baseColWidth="10" defaultColWidth="8.7109375" defaultRowHeight="15" x14ac:dyDescent="0.25"/>
  <cols>
    <col min="1" max="1" width="8" customWidth="1"/>
    <col min="2" max="2" width="38" customWidth="1"/>
    <col min="3" max="15" width="10" customWidth="1"/>
    <col min="16" max="16" width="12" customWidth="1"/>
  </cols>
  <sheetData>
    <row r="1" spans="1:16" ht="34.5" customHeight="1" x14ac:dyDescent="0.25">
      <c r="A1" s="12" t="s">
        <v>41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8" customHeight="1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25">
      <c r="A3" s="10" t="s">
        <v>43</v>
      </c>
      <c r="B3" s="10"/>
      <c r="C3" s="10" t="s">
        <v>44</v>
      </c>
      <c r="D3" s="10"/>
      <c r="E3" s="10"/>
      <c r="F3" s="10"/>
      <c r="G3" s="11" t="s">
        <v>45</v>
      </c>
      <c r="H3" s="11"/>
      <c r="I3" s="11"/>
      <c r="J3" s="9" t="s">
        <v>46</v>
      </c>
      <c r="K3" s="9"/>
      <c r="L3" s="9"/>
      <c r="M3" s="9"/>
      <c r="N3" s="8" t="s">
        <v>47</v>
      </c>
      <c r="O3" s="8"/>
      <c r="P3" s="21"/>
    </row>
    <row r="4" spans="1:16" ht="49.5" customHeight="1" x14ac:dyDescent="0.25">
      <c r="A4" s="10" t="s">
        <v>48</v>
      </c>
      <c r="B4" s="10"/>
      <c r="C4" s="22" t="s">
        <v>49</v>
      </c>
      <c r="D4" s="22" t="s">
        <v>50</v>
      </c>
      <c r="E4" s="22" t="s">
        <v>51</v>
      </c>
      <c r="F4" s="22" t="s">
        <v>52</v>
      </c>
      <c r="G4" s="23" t="s">
        <v>53</v>
      </c>
      <c r="H4" s="23" t="s">
        <v>54</v>
      </c>
      <c r="I4" s="23" t="s">
        <v>55</v>
      </c>
      <c r="J4" s="24" t="s">
        <v>56</v>
      </c>
      <c r="K4" s="24" t="s">
        <v>57</v>
      </c>
      <c r="L4" s="24" t="s">
        <v>58</v>
      </c>
      <c r="M4" s="24" t="s">
        <v>59</v>
      </c>
      <c r="N4" s="25" t="s">
        <v>60</v>
      </c>
      <c r="O4" s="25" t="s">
        <v>61</v>
      </c>
      <c r="P4" s="26" t="s">
        <v>62</v>
      </c>
    </row>
    <row r="5" spans="1:16" ht="45" customHeight="1" x14ac:dyDescent="0.25">
      <c r="A5" s="15" t="s">
        <v>63</v>
      </c>
      <c r="B5" s="27" t="s">
        <v>64</v>
      </c>
      <c r="C5" s="28">
        <v>1</v>
      </c>
      <c r="D5" s="29">
        <v>2</v>
      </c>
      <c r="E5" s="28">
        <v>1</v>
      </c>
      <c r="F5" s="28">
        <v>1</v>
      </c>
      <c r="G5" s="28">
        <v>1</v>
      </c>
      <c r="H5" s="29">
        <v>2</v>
      </c>
      <c r="I5" s="28">
        <v>1</v>
      </c>
      <c r="J5" s="29">
        <v>2</v>
      </c>
      <c r="K5" s="28">
        <v>1</v>
      </c>
      <c r="L5" s="30">
        <v>0</v>
      </c>
      <c r="M5" s="28">
        <v>1</v>
      </c>
      <c r="N5" s="28">
        <v>1</v>
      </c>
      <c r="O5" s="28">
        <v>1</v>
      </c>
      <c r="P5" s="26">
        <f>SUM(C5:O5)</f>
        <v>15</v>
      </c>
    </row>
    <row r="6" spans="1:16" ht="45" customHeight="1" x14ac:dyDescent="0.25">
      <c r="A6" s="15" t="s">
        <v>65</v>
      </c>
      <c r="B6" s="27" t="s">
        <v>66</v>
      </c>
      <c r="C6" s="29">
        <v>2</v>
      </c>
      <c r="D6" s="28">
        <v>1</v>
      </c>
      <c r="E6" s="30">
        <v>0</v>
      </c>
      <c r="F6" s="30">
        <v>0</v>
      </c>
      <c r="G6" s="28">
        <v>1</v>
      </c>
      <c r="H6" s="29">
        <v>2</v>
      </c>
      <c r="I6" s="28">
        <v>1</v>
      </c>
      <c r="J6" s="29">
        <v>2</v>
      </c>
      <c r="K6" s="28">
        <v>1</v>
      </c>
      <c r="L6" s="28">
        <v>1</v>
      </c>
      <c r="M6" s="28">
        <v>1</v>
      </c>
      <c r="N6" s="29">
        <v>2</v>
      </c>
      <c r="O6" s="29">
        <v>2</v>
      </c>
      <c r="P6" s="26">
        <f>SUM(C6:O6)</f>
        <v>16</v>
      </c>
    </row>
    <row r="7" spans="1:16" ht="45" customHeight="1" x14ac:dyDescent="0.25">
      <c r="A7" s="15" t="s">
        <v>67</v>
      </c>
      <c r="B7" s="27" t="s">
        <v>68</v>
      </c>
      <c r="C7" s="30">
        <v>0</v>
      </c>
      <c r="D7" s="29">
        <v>2</v>
      </c>
      <c r="E7" s="29">
        <v>2</v>
      </c>
      <c r="F7" s="28">
        <v>1</v>
      </c>
      <c r="G7" s="30">
        <v>0</v>
      </c>
      <c r="H7" s="29">
        <v>2</v>
      </c>
      <c r="I7" s="28">
        <v>1</v>
      </c>
      <c r="J7" s="28">
        <v>1</v>
      </c>
      <c r="K7" s="30">
        <v>0</v>
      </c>
      <c r="L7" s="30">
        <v>0</v>
      </c>
      <c r="M7" s="29">
        <v>2</v>
      </c>
      <c r="N7" s="28">
        <v>1</v>
      </c>
      <c r="O7" s="30">
        <v>0</v>
      </c>
      <c r="P7" s="26">
        <f>SUM(C7:O7)</f>
        <v>12</v>
      </c>
    </row>
    <row r="8" spans="1:16" ht="45" customHeight="1" x14ac:dyDescent="0.25">
      <c r="A8" s="15" t="s">
        <v>69</v>
      </c>
      <c r="B8" s="27" t="s">
        <v>70</v>
      </c>
      <c r="C8" s="28">
        <v>1</v>
      </c>
      <c r="D8" s="28">
        <v>1</v>
      </c>
      <c r="E8" s="30">
        <v>0</v>
      </c>
      <c r="F8" s="29">
        <v>2</v>
      </c>
      <c r="G8" s="30">
        <v>0</v>
      </c>
      <c r="H8" s="28">
        <v>1</v>
      </c>
      <c r="I8" s="29">
        <v>2</v>
      </c>
      <c r="J8" s="29">
        <v>2</v>
      </c>
      <c r="K8" s="30">
        <v>0</v>
      </c>
      <c r="L8" s="30">
        <v>0</v>
      </c>
      <c r="M8" s="28">
        <v>1</v>
      </c>
      <c r="N8" s="28">
        <v>1</v>
      </c>
      <c r="O8" s="28">
        <v>1</v>
      </c>
      <c r="P8" s="26">
        <f>SUM(C8:O8)</f>
        <v>12</v>
      </c>
    </row>
    <row r="9" spans="1:16" ht="45" customHeight="1" x14ac:dyDescent="0.25">
      <c r="A9" s="15" t="s">
        <v>71</v>
      </c>
      <c r="B9" s="27" t="s">
        <v>72</v>
      </c>
      <c r="C9" s="30">
        <v>0</v>
      </c>
      <c r="D9" s="30">
        <v>0</v>
      </c>
      <c r="E9" s="30">
        <v>0</v>
      </c>
      <c r="F9" s="30">
        <v>0</v>
      </c>
      <c r="G9" s="28">
        <v>1</v>
      </c>
      <c r="H9" s="30">
        <v>0</v>
      </c>
      <c r="I9" s="28">
        <v>1</v>
      </c>
      <c r="J9" s="28">
        <v>1</v>
      </c>
      <c r="K9" s="30">
        <v>0</v>
      </c>
      <c r="L9" s="29">
        <v>2</v>
      </c>
      <c r="M9" s="28">
        <v>1</v>
      </c>
      <c r="N9" s="29">
        <v>2</v>
      </c>
      <c r="O9" s="28">
        <v>1</v>
      </c>
      <c r="P9" s="26">
        <f>SUM(C9:O9)</f>
        <v>9</v>
      </c>
    </row>
    <row r="10" spans="1:16" ht="24.75" customHeight="1" x14ac:dyDescent="0.25">
      <c r="A10" s="10" t="s">
        <v>73</v>
      </c>
      <c r="B10" s="10"/>
      <c r="C10" s="15">
        <f t="shared" ref="C10:O10" si="0">SUM(C5:C9)</f>
        <v>4</v>
      </c>
      <c r="D10" s="15">
        <f t="shared" si="0"/>
        <v>6</v>
      </c>
      <c r="E10" s="15">
        <f t="shared" si="0"/>
        <v>3</v>
      </c>
      <c r="F10" s="15">
        <f t="shared" si="0"/>
        <v>4</v>
      </c>
      <c r="G10" s="15">
        <f t="shared" si="0"/>
        <v>3</v>
      </c>
      <c r="H10" s="15">
        <f t="shared" si="0"/>
        <v>7</v>
      </c>
      <c r="I10" s="15">
        <f t="shared" si="0"/>
        <v>6</v>
      </c>
      <c r="J10" s="15">
        <f t="shared" si="0"/>
        <v>8</v>
      </c>
      <c r="K10" s="15">
        <f t="shared" si="0"/>
        <v>2</v>
      </c>
      <c r="L10" s="15">
        <f t="shared" si="0"/>
        <v>3</v>
      </c>
      <c r="M10" s="15">
        <f t="shared" si="0"/>
        <v>6</v>
      </c>
      <c r="N10" s="15">
        <f t="shared" si="0"/>
        <v>7</v>
      </c>
      <c r="O10" s="15">
        <f t="shared" si="0"/>
        <v>5</v>
      </c>
      <c r="P10" s="19" t="s">
        <v>74</v>
      </c>
    </row>
    <row r="11" spans="1:16" ht="19.5" customHeight="1" x14ac:dyDescent="0.25">
      <c r="A11" s="11" t="s">
        <v>75</v>
      </c>
      <c r="B11" s="11"/>
      <c r="C11" s="29" t="s">
        <v>76</v>
      </c>
      <c r="D11" s="29" t="s">
        <v>76</v>
      </c>
      <c r="E11" s="31" t="s">
        <v>77</v>
      </c>
      <c r="F11" s="32" t="s">
        <v>78</v>
      </c>
      <c r="G11" s="29" t="s">
        <v>76</v>
      </c>
      <c r="H11" s="29" t="s">
        <v>76</v>
      </c>
      <c r="I11" s="29" t="s">
        <v>76</v>
      </c>
      <c r="J11" s="29" t="s">
        <v>76</v>
      </c>
      <c r="K11" s="32" t="s">
        <v>78</v>
      </c>
      <c r="L11" s="31" t="s">
        <v>77</v>
      </c>
      <c r="M11" s="29" t="s">
        <v>76</v>
      </c>
      <c r="N11" s="29" t="s">
        <v>76</v>
      </c>
      <c r="O11" s="29" t="s">
        <v>76</v>
      </c>
      <c r="P11" s="21"/>
    </row>
    <row r="12" spans="1:16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21.75" customHeight="1" x14ac:dyDescent="0.25">
      <c r="A13" s="7" t="s">
        <v>79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21.75" customHeight="1" x14ac:dyDescent="0.25">
      <c r="A14" s="11" t="s">
        <v>80</v>
      </c>
      <c r="B14" s="11"/>
      <c r="C14" s="11" t="s">
        <v>81</v>
      </c>
      <c r="D14" s="11"/>
      <c r="E14" s="11" t="s">
        <v>82</v>
      </c>
      <c r="F14" s="11"/>
      <c r="G14" s="11"/>
      <c r="H14" s="11"/>
      <c r="I14" s="11"/>
      <c r="J14" s="11" t="s">
        <v>83</v>
      </c>
      <c r="K14" s="11"/>
      <c r="L14" s="11" t="s">
        <v>84</v>
      </c>
      <c r="M14" s="11"/>
      <c r="N14" s="11"/>
      <c r="O14" s="11"/>
      <c r="P14" s="11"/>
    </row>
    <row r="15" spans="1:16" ht="45" customHeight="1" x14ac:dyDescent="0.25">
      <c r="A15" s="6">
        <v>1</v>
      </c>
      <c r="B15" s="6"/>
      <c r="C15" s="11" t="s">
        <v>45</v>
      </c>
      <c r="D15" s="11"/>
      <c r="E15" s="5" t="s">
        <v>85</v>
      </c>
      <c r="F15" s="5"/>
      <c r="G15" s="5"/>
      <c r="H15" s="5"/>
      <c r="I15" s="5"/>
      <c r="J15" s="4">
        <v>9</v>
      </c>
      <c r="K15" s="4"/>
      <c r="L15" s="3" t="s">
        <v>86</v>
      </c>
      <c r="M15" s="3"/>
      <c r="N15" s="3"/>
      <c r="O15" s="3"/>
      <c r="P15" s="3"/>
    </row>
    <row r="16" spans="1:16" ht="45" customHeight="1" x14ac:dyDescent="0.25">
      <c r="A16" s="6">
        <v>2</v>
      </c>
      <c r="B16" s="6"/>
      <c r="C16" s="9" t="s">
        <v>46</v>
      </c>
      <c r="D16" s="9"/>
      <c r="E16" s="5" t="s">
        <v>87</v>
      </c>
      <c r="F16" s="5"/>
      <c r="G16" s="5"/>
      <c r="H16" s="5"/>
      <c r="I16" s="5"/>
      <c r="J16" s="4">
        <v>9</v>
      </c>
      <c r="K16" s="4"/>
      <c r="L16" s="3" t="s">
        <v>88</v>
      </c>
      <c r="M16" s="3"/>
      <c r="N16" s="3"/>
      <c r="O16" s="3"/>
      <c r="P16" s="3"/>
    </row>
    <row r="17" spans="1:16" ht="45" customHeight="1" x14ac:dyDescent="0.25">
      <c r="A17" s="6">
        <v>3</v>
      </c>
      <c r="B17" s="6"/>
      <c r="C17" s="9" t="s">
        <v>46</v>
      </c>
      <c r="D17" s="9"/>
      <c r="E17" s="5" t="s">
        <v>89</v>
      </c>
      <c r="F17" s="5"/>
      <c r="G17" s="5"/>
      <c r="H17" s="5"/>
      <c r="I17" s="5"/>
      <c r="J17" s="4">
        <v>8</v>
      </c>
      <c r="K17" s="4"/>
      <c r="L17" s="3" t="s">
        <v>90</v>
      </c>
      <c r="M17" s="3"/>
      <c r="N17" s="3"/>
      <c r="O17" s="3"/>
      <c r="P17" s="3"/>
    </row>
    <row r="18" spans="1:16" ht="45" customHeight="1" x14ac:dyDescent="0.25">
      <c r="A18" s="6">
        <v>4</v>
      </c>
      <c r="B18" s="6"/>
      <c r="C18" s="8" t="s">
        <v>91</v>
      </c>
      <c r="D18" s="8"/>
      <c r="E18" s="5" t="s">
        <v>92</v>
      </c>
      <c r="F18" s="5"/>
      <c r="G18" s="5"/>
      <c r="H18" s="5"/>
      <c r="I18" s="5"/>
      <c r="J18" s="4">
        <v>8</v>
      </c>
      <c r="K18" s="4"/>
      <c r="L18" s="3" t="s">
        <v>93</v>
      </c>
      <c r="M18" s="3"/>
      <c r="N18" s="3"/>
      <c r="O18" s="3"/>
      <c r="P18" s="3"/>
    </row>
    <row r="19" spans="1:16" ht="45" customHeight="1" x14ac:dyDescent="0.25">
      <c r="A19" s="6">
        <v>5</v>
      </c>
      <c r="B19" s="6"/>
      <c r="C19" s="11" t="s">
        <v>45</v>
      </c>
      <c r="D19" s="11"/>
      <c r="E19" s="5" t="s">
        <v>94</v>
      </c>
      <c r="F19" s="5"/>
      <c r="G19" s="5"/>
      <c r="H19" s="5"/>
      <c r="I19" s="5"/>
      <c r="J19" s="4">
        <v>7</v>
      </c>
      <c r="K19" s="4"/>
      <c r="L19" s="3" t="s">
        <v>95</v>
      </c>
      <c r="M19" s="3"/>
      <c r="N19" s="3"/>
      <c r="O19" s="3"/>
      <c r="P19" s="3"/>
    </row>
    <row r="20" spans="1:16" ht="45" customHeight="1" x14ac:dyDescent="0.25">
      <c r="A20" s="6">
        <v>6</v>
      </c>
      <c r="B20" s="6"/>
      <c r="C20" s="9" t="s">
        <v>46</v>
      </c>
      <c r="D20" s="9"/>
      <c r="E20" s="5" t="s">
        <v>96</v>
      </c>
      <c r="F20" s="5"/>
      <c r="G20" s="5"/>
      <c r="H20" s="5"/>
      <c r="I20" s="5"/>
      <c r="J20" s="4">
        <v>7</v>
      </c>
      <c r="K20" s="4"/>
      <c r="L20" s="3" t="s">
        <v>97</v>
      </c>
      <c r="M20" s="3"/>
      <c r="N20" s="3"/>
      <c r="O20" s="3"/>
      <c r="P20" s="3"/>
    </row>
    <row r="21" spans="1:16" ht="45" customHeight="1" x14ac:dyDescent="0.25">
      <c r="A21" s="6">
        <v>7</v>
      </c>
      <c r="B21" s="6"/>
      <c r="C21" s="10" t="s">
        <v>44</v>
      </c>
      <c r="D21" s="10"/>
      <c r="E21" s="5" t="s">
        <v>98</v>
      </c>
      <c r="F21" s="5"/>
      <c r="G21" s="5"/>
      <c r="H21" s="5"/>
      <c r="I21" s="5"/>
      <c r="J21" s="4">
        <v>6</v>
      </c>
      <c r="K21" s="4"/>
      <c r="L21" s="3" t="s">
        <v>99</v>
      </c>
      <c r="M21" s="3"/>
      <c r="N21" s="3"/>
      <c r="O21" s="3"/>
      <c r="P21" s="3"/>
    </row>
  </sheetData>
  <mergeCells count="51">
    <mergeCell ref="A21:B21"/>
    <mergeCell ref="C21:D21"/>
    <mergeCell ref="E21:I21"/>
    <mergeCell ref="J21:K21"/>
    <mergeCell ref="L21:P21"/>
    <mergeCell ref="A20:B20"/>
    <mergeCell ref="C20:D20"/>
    <mergeCell ref="E20:I20"/>
    <mergeCell ref="J20:K20"/>
    <mergeCell ref="L20:P20"/>
    <mergeCell ref="A19:B19"/>
    <mergeCell ref="C19:D19"/>
    <mergeCell ref="E19:I19"/>
    <mergeCell ref="J19:K19"/>
    <mergeCell ref="L19:P19"/>
    <mergeCell ref="A18:B18"/>
    <mergeCell ref="C18:D18"/>
    <mergeCell ref="E18:I18"/>
    <mergeCell ref="J18:K18"/>
    <mergeCell ref="L18:P18"/>
    <mergeCell ref="A17:B17"/>
    <mergeCell ref="C17:D17"/>
    <mergeCell ref="E17:I17"/>
    <mergeCell ref="J17:K17"/>
    <mergeCell ref="L17:P17"/>
    <mergeCell ref="A16:B16"/>
    <mergeCell ref="C16:D16"/>
    <mergeCell ref="E16:I16"/>
    <mergeCell ref="J16:K16"/>
    <mergeCell ref="L16:P16"/>
    <mergeCell ref="A15:B15"/>
    <mergeCell ref="C15:D15"/>
    <mergeCell ref="E15:I15"/>
    <mergeCell ref="J15:K15"/>
    <mergeCell ref="L15:P15"/>
    <mergeCell ref="A4:B4"/>
    <mergeCell ref="A10:B10"/>
    <mergeCell ref="A11:B11"/>
    <mergeCell ref="A13:P13"/>
    <mergeCell ref="A14:B14"/>
    <mergeCell ref="C14:D14"/>
    <mergeCell ref="E14:I14"/>
    <mergeCell ref="J14:K14"/>
    <mergeCell ref="L14:P14"/>
    <mergeCell ref="A1:P1"/>
    <mergeCell ref="A2:P2"/>
    <mergeCell ref="A3:B3"/>
    <mergeCell ref="C3:F3"/>
    <mergeCell ref="G3:I3"/>
    <mergeCell ref="J3:M3"/>
    <mergeCell ref="N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"/>
  <sheetViews>
    <sheetView showGridLines="0" zoomScaleNormal="100" workbookViewId="0">
      <selection sqref="A1:P1"/>
    </sheetView>
  </sheetViews>
  <sheetFormatPr baseColWidth="10" defaultColWidth="8.7109375" defaultRowHeight="15" x14ac:dyDescent="0.25"/>
  <cols>
    <col min="1" max="1" width="8" customWidth="1"/>
    <col min="2" max="2" width="42" customWidth="1"/>
    <col min="3" max="15" width="10" customWidth="1"/>
    <col min="16" max="16" width="12" customWidth="1"/>
  </cols>
  <sheetData>
    <row r="1" spans="1:16" ht="34.5" customHeight="1" x14ac:dyDescent="0.25">
      <c r="A1" s="12" t="s">
        <v>100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8" customHeight="1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30" customHeight="1" x14ac:dyDescent="0.25">
      <c r="A3" s="10" t="s">
        <v>43</v>
      </c>
      <c r="B3" s="10"/>
      <c r="C3" s="10" t="s">
        <v>44</v>
      </c>
      <c r="D3" s="10"/>
      <c r="E3" s="10"/>
      <c r="F3" s="10"/>
      <c r="G3" s="11" t="s">
        <v>45</v>
      </c>
      <c r="H3" s="11"/>
      <c r="I3" s="11"/>
      <c r="J3" s="9" t="s">
        <v>46</v>
      </c>
      <c r="K3" s="9"/>
      <c r="L3" s="9"/>
      <c r="M3" s="9"/>
      <c r="N3" s="8" t="s">
        <v>47</v>
      </c>
      <c r="O3" s="8"/>
      <c r="P3" s="21"/>
    </row>
    <row r="4" spans="1:16" ht="49.5" customHeight="1" x14ac:dyDescent="0.25">
      <c r="A4" s="10" t="s">
        <v>101</v>
      </c>
      <c r="B4" s="10"/>
      <c r="C4" s="22" t="s">
        <v>102</v>
      </c>
      <c r="D4" s="22" t="s">
        <v>103</v>
      </c>
      <c r="E4" s="22" t="s">
        <v>104</v>
      </c>
      <c r="F4" s="22" t="s">
        <v>105</v>
      </c>
      <c r="G4" s="23" t="s">
        <v>106</v>
      </c>
      <c r="H4" s="23" t="s">
        <v>107</v>
      </c>
      <c r="I4" s="23" t="s">
        <v>108</v>
      </c>
      <c r="J4" s="24" t="s">
        <v>109</v>
      </c>
      <c r="K4" s="24" t="s">
        <v>110</v>
      </c>
      <c r="L4" s="24" t="s">
        <v>111</v>
      </c>
      <c r="M4" s="24" t="s">
        <v>112</v>
      </c>
      <c r="N4" s="25" t="s">
        <v>113</v>
      </c>
      <c r="O4" s="25" t="s">
        <v>114</v>
      </c>
      <c r="P4" s="26" t="s">
        <v>62</v>
      </c>
    </row>
    <row r="5" spans="1:16" ht="45" customHeight="1" x14ac:dyDescent="0.25">
      <c r="A5" s="29" t="s">
        <v>2</v>
      </c>
      <c r="B5" s="27" t="s">
        <v>85</v>
      </c>
      <c r="C5" s="30">
        <v>0</v>
      </c>
      <c r="D5" s="29">
        <v>2</v>
      </c>
      <c r="E5" s="30">
        <v>0</v>
      </c>
      <c r="F5" s="30">
        <v>0</v>
      </c>
      <c r="G5" s="29">
        <v>2</v>
      </c>
      <c r="H5" s="28">
        <v>1</v>
      </c>
      <c r="I5" s="29">
        <v>2</v>
      </c>
      <c r="J5" s="29">
        <v>2</v>
      </c>
      <c r="K5" s="28">
        <v>1</v>
      </c>
      <c r="L5" s="28">
        <v>1</v>
      </c>
      <c r="M5" s="28">
        <v>1</v>
      </c>
      <c r="N5" s="30">
        <v>0</v>
      </c>
      <c r="O5" s="30">
        <v>0</v>
      </c>
      <c r="P5" s="26">
        <f t="shared" ref="P5:P11" si="0">SUM(C5:O5)</f>
        <v>12</v>
      </c>
    </row>
    <row r="6" spans="1:16" ht="45" customHeight="1" x14ac:dyDescent="0.25">
      <c r="A6" s="29" t="s">
        <v>5</v>
      </c>
      <c r="B6" s="27" t="s">
        <v>87</v>
      </c>
      <c r="C6" s="30">
        <v>0</v>
      </c>
      <c r="D6" s="28">
        <v>1</v>
      </c>
      <c r="E6" s="28">
        <v>1</v>
      </c>
      <c r="F6" s="30">
        <v>0</v>
      </c>
      <c r="G6" s="28">
        <v>1</v>
      </c>
      <c r="H6" s="29">
        <v>2</v>
      </c>
      <c r="I6" s="30">
        <v>0</v>
      </c>
      <c r="J6" s="29">
        <v>2</v>
      </c>
      <c r="K6" s="29">
        <v>2</v>
      </c>
      <c r="L6" s="28">
        <v>1</v>
      </c>
      <c r="M6" s="28">
        <v>1</v>
      </c>
      <c r="N6" s="28">
        <v>1</v>
      </c>
      <c r="O6" s="28">
        <v>1</v>
      </c>
      <c r="P6" s="26">
        <f t="shared" si="0"/>
        <v>13</v>
      </c>
    </row>
    <row r="7" spans="1:16" ht="45" customHeight="1" x14ac:dyDescent="0.25">
      <c r="A7" s="29" t="s">
        <v>8</v>
      </c>
      <c r="B7" s="27" t="s">
        <v>89</v>
      </c>
      <c r="C7" s="29">
        <v>2</v>
      </c>
      <c r="D7" s="29">
        <v>2</v>
      </c>
      <c r="E7" s="30">
        <v>0</v>
      </c>
      <c r="F7" s="28">
        <v>1</v>
      </c>
      <c r="G7" s="30">
        <v>0</v>
      </c>
      <c r="H7" s="30">
        <v>0</v>
      </c>
      <c r="I7" s="29">
        <v>2</v>
      </c>
      <c r="J7" s="28">
        <v>1</v>
      </c>
      <c r="K7" s="30">
        <v>0</v>
      </c>
      <c r="L7" s="28">
        <v>1</v>
      </c>
      <c r="M7" s="29">
        <v>2</v>
      </c>
      <c r="N7" s="30">
        <v>0</v>
      </c>
      <c r="O7" s="30">
        <v>0</v>
      </c>
      <c r="P7" s="26">
        <f t="shared" si="0"/>
        <v>11</v>
      </c>
    </row>
    <row r="8" spans="1:16" ht="45" customHeight="1" x14ac:dyDescent="0.25">
      <c r="A8" s="29" t="s">
        <v>11</v>
      </c>
      <c r="B8" s="27" t="s">
        <v>92</v>
      </c>
      <c r="C8" s="28">
        <v>1</v>
      </c>
      <c r="D8" s="28">
        <v>1</v>
      </c>
      <c r="E8" s="29">
        <v>2</v>
      </c>
      <c r="F8" s="30">
        <v>0</v>
      </c>
      <c r="G8" s="28">
        <v>1</v>
      </c>
      <c r="H8" s="29">
        <v>2</v>
      </c>
      <c r="I8" s="28">
        <v>1</v>
      </c>
      <c r="J8" s="29">
        <v>2</v>
      </c>
      <c r="K8" s="29">
        <v>2</v>
      </c>
      <c r="L8" s="28">
        <v>1</v>
      </c>
      <c r="M8" s="28">
        <v>1</v>
      </c>
      <c r="N8" s="29">
        <v>2</v>
      </c>
      <c r="O8" s="29">
        <v>2</v>
      </c>
      <c r="P8" s="26">
        <f t="shared" si="0"/>
        <v>18</v>
      </c>
    </row>
    <row r="9" spans="1:16" ht="45" customHeight="1" x14ac:dyDescent="0.25">
      <c r="A9" s="29" t="s">
        <v>14</v>
      </c>
      <c r="B9" s="27" t="s">
        <v>94</v>
      </c>
      <c r="C9" s="30">
        <v>0</v>
      </c>
      <c r="D9" s="28">
        <v>1</v>
      </c>
      <c r="E9" s="28">
        <v>1</v>
      </c>
      <c r="F9" s="29">
        <v>2</v>
      </c>
      <c r="G9" s="28">
        <v>1</v>
      </c>
      <c r="H9" s="30">
        <v>0</v>
      </c>
      <c r="I9" s="28">
        <v>1</v>
      </c>
      <c r="J9" s="28">
        <v>1</v>
      </c>
      <c r="K9" s="28">
        <v>1</v>
      </c>
      <c r="L9" s="29">
        <v>2</v>
      </c>
      <c r="M9" s="28">
        <v>1</v>
      </c>
      <c r="N9" s="30">
        <v>0</v>
      </c>
      <c r="O9" s="28">
        <v>1</v>
      </c>
      <c r="P9" s="26">
        <f t="shared" si="0"/>
        <v>12</v>
      </c>
    </row>
    <row r="10" spans="1:16" ht="45" customHeight="1" x14ac:dyDescent="0.25">
      <c r="A10" s="29" t="s">
        <v>17</v>
      </c>
      <c r="B10" s="27" t="s">
        <v>96</v>
      </c>
      <c r="C10" s="28">
        <v>1</v>
      </c>
      <c r="D10" s="29">
        <v>2</v>
      </c>
      <c r="E10" s="30">
        <v>0</v>
      </c>
      <c r="F10" s="30">
        <v>0</v>
      </c>
      <c r="G10" s="30">
        <v>0</v>
      </c>
      <c r="H10" s="30">
        <v>0</v>
      </c>
      <c r="I10" s="29">
        <v>2</v>
      </c>
      <c r="J10" s="28">
        <v>1</v>
      </c>
      <c r="K10" s="30">
        <v>0</v>
      </c>
      <c r="L10" s="28">
        <v>1</v>
      </c>
      <c r="M10" s="29">
        <v>2</v>
      </c>
      <c r="N10" s="28">
        <v>1</v>
      </c>
      <c r="O10" s="30">
        <v>0</v>
      </c>
      <c r="P10" s="26">
        <f t="shared" si="0"/>
        <v>10</v>
      </c>
    </row>
    <row r="11" spans="1:16" ht="45" customHeight="1" x14ac:dyDescent="0.25">
      <c r="A11" s="29" t="s">
        <v>20</v>
      </c>
      <c r="B11" s="27" t="s">
        <v>98</v>
      </c>
      <c r="C11" s="29">
        <v>2</v>
      </c>
      <c r="D11" s="28">
        <v>1</v>
      </c>
      <c r="E11" s="30">
        <v>0</v>
      </c>
      <c r="F11" s="28">
        <v>1</v>
      </c>
      <c r="G11" s="30">
        <v>0</v>
      </c>
      <c r="H11" s="30">
        <v>0</v>
      </c>
      <c r="I11" s="28">
        <v>1</v>
      </c>
      <c r="J11" s="30">
        <v>0</v>
      </c>
      <c r="K11" s="30">
        <v>0</v>
      </c>
      <c r="L11" s="30">
        <v>0</v>
      </c>
      <c r="M11" s="29">
        <v>2</v>
      </c>
      <c r="N11" s="30">
        <v>0</v>
      </c>
      <c r="O11" s="30">
        <v>0</v>
      </c>
      <c r="P11" s="26">
        <f t="shared" si="0"/>
        <v>7</v>
      </c>
    </row>
    <row r="12" spans="1:16" ht="24.75" customHeight="1" x14ac:dyDescent="0.25">
      <c r="A12" s="10" t="s">
        <v>115</v>
      </c>
      <c r="B12" s="10"/>
      <c r="C12" s="15">
        <f t="shared" ref="C12:O12" si="1">SUM(C5:C11)</f>
        <v>6</v>
      </c>
      <c r="D12" s="15">
        <f t="shared" si="1"/>
        <v>10</v>
      </c>
      <c r="E12" s="15">
        <f t="shared" si="1"/>
        <v>4</v>
      </c>
      <c r="F12" s="15">
        <f t="shared" si="1"/>
        <v>4</v>
      </c>
      <c r="G12" s="15">
        <f t="shared" si="1"/>
        <v>5</v>
      </c>
      <c r="H12" s="15">
        <f t="shared" si="1"/>
        <v>5</v>
      </c>
      <c r="I12" s="15">
        <f t="shared" si="1"/>
        <v>9</v>
      </c>
      <c r="J12" s="15">
        <f t="shared" si="1"/>
        <v>9</v>
      </c>
      <c r="K12" s="15">
        <f t="shared" si="1"/>
        <v>6</v>
      </c>
      <c r="L12" s="15">
        <f t="shared" si="1"/>
        <v>7</v>
      </c>
      <c r="M12" s="15">
        <f t="shared" si="1"/>
        <v>10</v>
      </c>
      <c r="N12" s="15">
        <f t="shared" si="1"/>
        <v>4</v>
      </c>
      <c r="O12" s="15">
        <f t="shared" si="1"/>
        <v>4</v>
      </c>
      <c r="P12" s="21"/>
    </row>
    <row r="13" spans="1:16" ht="19.5" customHeight="1" x14ac:dyDescent="0.25">
      <c r="A13" s="11" t="s">
        <v>75</v>
      </c>
      <c r="B13" s="11"/>
      <c r="C13" s="29" t="s">
        <v>76</v>
      </c>
      <c r="D13" s="29" t="s">
        <v>76</v>
      </c>
      <c r="E13" s="31" t="s">
        <v>77</v>
      </c>
      <c r="F13" s="31" t="s">
        <v>77</v>
      </c>
      <c r="G13" s="29" t="s">
        <v>76</v>
      </c>
      <c r="H13" s="29" t="s">
        <v>76</v>
      </c>
      <c r="I13" s="29" t="s">
        <v>76</v>
      </c>
      <c r="J13" s="29" t="s">
        <v>76</v>
      </c>
      <c r="K13" s="29" t="s">
        <v>76</v>
      </c>
      <c r="L13" s="29" t="s">
        <v>76</v>
      </c>
      <c r="M13" s="29" t="s">
        <v>76</v>
      </c>
      <c r="N13" s="31" t="s">
        <v>77</v>
      </c>
      <c r="O13" s="31" t="s">
        <v>77</v>
      </c>
      <c r="P13" s="21"/>
    </row>
    <row r="14" spans="1:16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21.75" customHeight="1" x14ac:dyDescent="0.25">
      <c r="A15" s="7" t="s">
        <v>116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21.75" customHeight="1" x14ac:dyDescent="0.25">
      <c r="A16" s="11" t="s">
        <v>80</v>
      </c>
      <c r="B16" s="11"/>
      <c r="C16" s="11" t="s">
        <v>81</v>
      </c>
      <c r="D16" s="11"/>
      <c r="E16" s="11" t="s">
        <v>117</v>
      </c>
      <c r="F16" s="11"/>
      <c r="G16" s="11"/>
      <c r="H16" s="11"/>
      <c r="I16" s="11"/>
      <c r="J16" s="11" t="s">
        <v>83</v>
      </c>
      <c r="K16" s="11"/>
      <c r="L16" s="11" t="s">
        <v>84</v>
      </c>
      <c r="M16" s="11"/>
      <c r="N16" s="11"/>
      <c r="O16" s="11"/>
      <c r="P16" s="11"/>
    </row>
    <row r="17" spans="1:16" ht="45" customHeight="1" x14ac:dyDescent="0.25">
      <c r="A17" s="6">
        <v>1</v>
      </c>
      <c r="B17" s="6"/>
      <c r="C17" s="11" t="s">
        <v>45</v>
      </c>
      <c r="D17" s="11"/>
      <c r="E17" s="5" t="s">
        <v>118</v>
      </c>
      <c r="F17" s="5"/>
      <c r="G17" s="5"/>
      <c r="H17" s="5"/>
      <c r="I17" s="5"/>
      <c r="J17" s="4">
        <v>11</v>
      </c>
      <c r="K17" s="4"/>
      <c r="L17" s="3" t="s">
        <v>119</v>
      </c>
      <c r="M17" s="3"/>
      <c r="N17" s="3"/>
      <c r="O17" s="3"/>
      <c r="P17" s="3"/>
    </row>
    <row r="18" spans="1:16" ht="45" customHeight="1" x14ac:dyDescent="0.25">
      <c r="A18" s="6">
        <v>2</v>
      </c>
      <c r="B18" s="6"/>
      <c r="C18" s="9" t="s">
        <v>46</v>
      </c>
      <c r="D18" s="9"/>
      <c r="E18" s="5" t="s">
        <v>120</v>
      </c>
      <c r="F18" s="5"/>
      <c r="G18" s="5"/>
      <c r="H18" s="5"/>
      <c r="I18" s="5"/>
      <c r="J18" s="4">
        <v>11</v>
      </c>
      <c r="K18" s="4"/>
      <c r="L18" s="3" t="s">
        <v>121</v>
      </c>
      <c r="M18" s="3"/>
      <c r="N18" s="3"/>
      <c r="O18" s="3"/>
      <c r="P18" s="3"/>
    </row>
    <row r="19" spans="1:16" ht="45" customHeight="1" x14ac:dyDescent="0.25">
      <c r="A19" s="6">
        <v>3</v>
      </c>
      <c r="B19" s="6"/>
      <c r="C19" s="11" t="s">
        <v>45</v>
      </c>
      <c r="D19" s="11"/>
      <c r="E19" s="5" t="s">
        <v>122</v>
      </c>
      <c r="F19" s="5"/>
      <c r="G19" s="5"/>
      <c r="H19" s="5"/>
      <c r="I19" s="5"/>
      <c r="J19" s="4">
        <v>10</v>
      </c>
      <c r="K19" s="4"/>
      <c r="L19" s="3" t="s">
        <v>123</v>
      </c>
      <c r="M19" s="3"/>
      <c r="N19" s="3"/>
      <c r="O19" s="3"/>
      <c r="P19" s="3"/>
    </row>
    <row r="20" spans="1:16" ht="45" customHeight="1" x14ac:dyDescent="0.25">
      <c r="A20" s="6">
        <v>4</v>
      </c>
      <c r="B20" s="6"/>
      <c r="C20" s="9" t="s">
        <v>46</v>
      </c>
      <c r="D20" s="9"/>
      <c r="E20" s="5" t="s">
        <v>124</v>
      </c>
      <c r="F20" s="5"/>
      <c r="G20" s="5"/>
      <c r="H20" s="5"/>
      <c r="I20" s="5"/>
      <c r="J20" s="4">
        <v>10</v>
      </c>
      <c r="K20" s="4"/>
      <c r="L20" s="3" t="s">
        <v>125</v>
      </c>
      <c r="M20" s="3"/>
      <c r="N20" s="3"/>
      <c r="O20" s="3"/>
      <c r="P20" s="3"/>
    </row>
    <row r="21" spans="1:16" ht="45" customHeight="1" x14ac:dyDescent="0.25">
      <c r="A21" s="6">
        <v>5</v>
      </c>
      <c r="B21" s="6"/>
      <c r="C21" s="9" t="s">
        <v>46</v>
      </c>
      <c r="D21" s="9"/>
      <c r="E21" s="5" t="s">
        <v>126</v>
      </c>
      <c r="F21" s="5"/>
      <c r="G21" s="5"/>
      <c r="H21" s="5"/>
      <c r="I21" s="5"/>
      <c r="J21" s="4">
        <v>9</v>
      </c>
      <c r="K21" s="4"/>
      <c r="L21" s="3" t="s">
        <v>127</v>
      </c>
      <c r="M21" s="3"/>
      <c r="N21" s="3"/>
      <c r="O21" s="3"/>
      <c r="P21" s="3"/>
    </row>
    <row r="22" spans="1:16" ht="45" customHeight="1" x14ac:dyDescent="0.25">
      <c r="A22" s="6">
        <v>6</v>
      </c>
      <c r="B22" s="6"/>
      <c r="C22" s="9" t="s">
        <v>46</v>
      </c>
      <c r="D22" s="9"/>
      <c r="E22" s="5" t="s">
        <v>128</v>
      </c>
      <c r="F22" s="5"/>
      <c r="G22" s="5"/>
      <c r="H22" s="5"/>
      <c r="I22" s="5"/>
      <c r="J22" s="4">
        <v>9</v>
      </c>
      <c r="K22" s="4"/>
      <c r="L22" s="3" t="s">
        <v>129</v>
      </c>
      <c r="M22" s="3"/>
      <c r="N22" s="3"/>
      <c r="O22" s="3"/>
      <c r="P22" s="3"/>
    </row>
    <row r="23" spans="1:16" ht="45" customHeight="1" x14ac:dyDescent="0.25">
      <c r="A23" s="6">
        <v>7</v>
      </c>
      <c r="B23" s="6"/>
      <c r="C23" s="10" t="s">
        <v>44</v>
      </c>
      <c r="D23" s="10"/>
      <c r="E23" s="5" t="s">
        <v>130</v>
      </c>
      <c r="F23" s="5"/>
      <c r="G23" s="5"/>
      <c r="H23" s="5"/>
      <c r="I23" s="5"/>
      <c r="J23" s="4">
        <v>8</v>
      </c>
      <c r="K23" s="4"/>
      <c r="L23" s="3" t="s">
        <v>131</v>
      </c>
      <c r="M23" s="3"/>
      <c r="N23" s="3"/>
      <c r="O23" s="3"/>
      <c r="P23" s="3"/>
    </row>
    <row r="24" spans="1:16" ht="45" customHeight="1" x14ac:dyDescent="0.25">
      <c r="A24" s="6">
        <v>8</v>
      </c>
      <c r="B24" s="6"/>
      <c r="C24" s="8" t="s">
        <v>91</v>
      </c>
      <c r="D24" s="8"/>
      <c r="E24" s="5" t="s">
        <v>132</v>
      </c>
      <c r="F24" s="5"/>
      <c r="G24" s="5"/>
      <c r="H24" s="5"/>
      <c r="I24" s="5"/>
      <c r="J24" s="4">
        <v>7</v>
      </c>
      <c r="K24" s="4"/>
      <c r="L24" s="3" t="s">
        <v>133</v>
      </c>
      <c r="M24" s="3"/>
      <c r="N24" s="3"/>
      <c r="O24" s="3"/>
      <c r="P24" s="3"/>
    </row>
  </sheetData>
  <mergeCells count="56">
    <mergeCell ref="A24:B24"/>
    <mergeCell ref="C24:D24"/>
    <mergeCell ref="E24:I24"/>
    <mergeCell ref="J24:K24"/>
    <mergeCell ref="L24:P24"/>
    <mergeCell ref="A23:B23"/>
    <mergeCell ref="C23:D23"/>
    <mergeCell ref="E23:I23"/>
    <mergeCell ref="J23:K23"/>
    <mergeCell ref="L23:P23"/>
    <mergeCell ref="A22:B22"/>
    <mergeCell ref="C22:D22"/>
    <mergeCell ref="E22:I22"/>
    <mergeCell ref="J22:K22"/>
    <mergeCell ref="L22:P22"/>
    <mergeCell ref="A21:B21"/>
    <mergeCell ref="C21:D21"/>
    <mergeCell ref="E21:I21"/>
    <mergeCell ref="J21:K21"/>
    <mergeCell ref="L21:P21"/>
    <mergeCell ref="A20:B20"/>
    <mergeCell ref="C20:D20"/>
    <mergeCell ref="E20:I20"/>
    <mergeCell ref="J20:K20"/>
    <mergeCell ref="L20:P20"/>
    <mergeCell ref="A19:B19"/>
    <mergeCell ref="C19:D19"/>
    <mergeCell ref="E19:I19"/>
    <mergeCell ref="J19:K19"/>
    <mergeCell ref="L19:P19"/>
    <mergeCell ref="A18:B18"/>
    <mergeCell ref="C18:D18"/>
    <mergeCell ref="E18:I18"/>
    <mergeCell ref="J18:K18"/>
    <mergeCell ref="L18:P18"/>
    <mergeCell ref="A17:B17"/>
    <mergeCell ref="C17:D17"/>
    <mergeCell ref="E17:I17"/>
    <mergeCell ref="J17:K17"/>
    <mergeCell ref="L17:P17"/>
    <mergeCell ref="A4:B4"/>
    <mergeCell ref="A12:B12"/>
    <mergeCell ref="A13:B13"/>
    <mergeCell ref="A15:P15"/>
    <mergeCell ref="A16:B16"/>
    <mergeCell ref="C16:D16"/>
    <mergeCell ref="E16:I16"/>
    <mergeCell ref="J16:K16"/>
    <mergeCell ref="L16:P16"/>
    <mergeCell ref="A1:P1"/>
    <mergeCell ref="A2:P2"/>
    <mergeCell ref="A3:B3"/>
    <mergeCell ref="C3:F3"/>
    <mergeCell ref="G3:I3"/>
    <mergeCell ref="J3:M3"/>
    <mergeCell ref="N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7"/>
  <sheetViews>
    <sheetView showGridLines="0" tabSelected="1" zoomScaleNormal="100" workbookViewId="0">
      <selection activeCell="L6" sqref="L6"/>
    </sheetView>
  </sheetViews>
  <sheetFormatPr baseColWidth="10" defaultColWidth="8.7109375" defaultRowHeight="15" x14ac:dyDescent="0.25"/>
  <cols>
    <col min="1" max="1" width="6" customWidth="1"/>
    <col min="2" max="2" width="8" customWidth="1"/>
    <col min="3" max="3" width="38" customWidth="1"/>
    <col min="4" max="11" width="9" customWidth="1"/>
    <col min="12" max="12" width="12" customWidth="1"/>
    <col min="13" max="13" width="14" customWidth="1"/>
  </cols>
  <sheetData>
    <row r="1" spans="1:13" ht="34.5" customHeight="1" x14ac:dyDescent="0.25">
      <c r="A1" s="12" t="s">
        <v>134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8" customHeight="1" x14ac:dyDescent="0.25">
      <c r="A2" s="11" t="s">
        <v>135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54.75" customHeight="1" x14ac:dyDescent="0.25">
      <c r="A3" s="10" t="s">
        <v>136</v>
      </c>
      <c r="B3" s="10"/>
      <c r="C3" s="10"/>
      <c r="D3" s="24" t="s">
        <v>137</v>
      </c>
      <c r="E3" s="24" t="s">
        <v>138</v>
      </c>
      <c r="F3" s="23" t="s">
        <v>139</v>
      </c>
      <c r="G3" s="23" t="s">
        <v>140</v>
      </c>
      <c r="H3" s="24" t="s">
        <v>141</v>
      </c>
      <c r="I3" s="24" t="s">
        <v>142</v>
      </c>
      <c r="J3" s="22" t="s">
        <v>143</v>
      </c>
      <c r="K3" s="25" t="s">
        <v>144</v>
      </c>
      <c r="L3" s="26" t="s">
        <v>62</v>
      </c>
      <c r="M3" s="33" t="s">
        <v>145</v>
      </c>
    </row>
    <row r="4" spans="1:13" ht="30" customHeight="1" x14ac:dyDescent="0.25">
      <c r="A4" s="19" t="s">
        <v>146</v>
      </c>
      <c r="B4" s="19" t="s">
        <v>147</v>
      </c>
      <c r="C4" s="27" t="s">
        <v>148</v>
      </c>
      <c r="D4" s="30">
        <v>0</v>
      </c>
      <c r="E4" s="30">
        <v>0</v>
      </c>
      <c r="F4" s="30">
        <v>0</v>
      </c>
      <c r="G4" s="28">
        <v>1</v>
      </c>
      <c r="H4" s="30">
        <v>0</v>
      </c>
      <c r="I4" s="29">
        <v>2</v>
      </c>
      <c r="J4" s="30">
        <v>0</v>
      </c>
      <c r="K4" s="30">
        <v>0</v>
      </c>
      <c r="L4" s="26">
        <f t="shared" ref="L4:L43" si="0">SUM(D4:K4)</f>
        <v>3</v>
      </c>
      <c r="M4" s="28" t="s">
        <v>149</v>
      </c>
    </row>
    <row r="5" spans="1:13" ht="30" customHeight="1" x14ac:dyDescent="0.25">
      <c r="A5" s="19" t="s">
        <v>146</v>
      </c>
      <c r="B5" s="19" t="s">
        <v>150</v>
      </c>
      <c r="C5" s="27" t="s">
        <v>151</v>
      </c>
      <c r="D5" s="30">
        <v>0</v>
      </c>
      <c r="E5" s="30">
        <v>0</v>
      </c>
      <c r="F5" s="28">
        <v>1</v>
      </c>
      <c r="G5" s="28">
        <v>1</v>
      </c>
      <c r="H5" s="29">
        <v>2</v>
      </c>
      <c r="I5" s="28">
        <v>1</v>
      </c>
      <c r="J5" s="30">
        <v>0</v>
      </c>
      <c r="K5" s="30">
        <v>0</v>
      </c>
      <c r="L5" s="26">
        <f t="shared" si="0"/>
        <v>5</v>
      </c>
      <c r="M5" s="28" t="s">
        <v>149</v>
      </c>
    </row>
    <row r="6" spans="1:13" ht="30" customHeight="1" x14ac:dyDescent="0.25">
      <c r="A6" s="19" t="s">
        <v>146</v>
      </c>
      <c r="B6" s="19" t="s">
        <v>152</v>
      </c>
      <c r="C6" s="27" t="s">
        <v>153</v>
      </c>
      <c r="D6" s="29">
        <v>2</v>
      </c>
      <c r="E6" s="30">
        <v>0</v>
      </c>
      <c r="F6" s="30">
        <v>0</v>
      </c>
      <c r="G6" s="30">
        <v>0</v>
      </c>
      <c r="H6" s="30">
        <v>0</v>
      </c>
      <c r="I6" s="28">
        <v>1</v>
      </c>
      <c r="J6" s="29">
        <v>2</v>
      </c>
      <c r="K6" s="30">
        <v>0</v>
      </c>
      <c r="L6" s="26">
        <f t="shared" si="0"/>
        <v>5</v>
      </c>
      <c r="M6" s="29" t="s">
        <v>154</v>
      </c>
    </row>
    <row r="7" spans="1:13" ht="30" customHeight="1" x14ac:dyDescent="0.25">
      <c r="A7" s="19" t="s">
        <v>146</v>
      </c>
      <c r="B7" s="19" t="s">
        <v>155</v>
      </c>
      <c r="C7" s="27" t="s">
        <v>156</v>
      </c>
      <c r="D7" s="30">
        <v>0</v>
      </c>
      <c r="E7" s="28">
        <v>1</v>
      </c>
      <c r="F7" s="28">
        <v>1</v>
      </c>
      <c r="G7" s="30">
        <v>0</v>
      </c>
      <c r="H7" s="28">
        <v>1</v>
      </c>
      <c r="I7" s="28">
        <v>1</v>
      </c>
      <c r="J7" s="30">
        <v>0</v>
      </c>
      <c r="K7" s="28">
        <v>1</v>
      </c>
      <c r="L7" s="26">
        <f t="shared" si="0"/>
        <v>5</v>
      </c>
      <c r="M7" s="29" t="s">
        <v>154</v>
      </c>
    </row>
    <row r="8" spans="1:13" ht="30" customHeight="1" x14ac:dyDescent="0.25">
      <c r="A8" s="19" t="s">
        <v>146</v>
      </c>
      <c r="B8" s="19" t="s">
        <v>157</v>
      </c>
      <c r="C8" s="27" t="s">
        <v>158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28">
        <v>1</v>
      </c>
      <c r="J8" s="30">
        <v>0</v>
      </c>
      <c r="K8" s="30">
        <v>0</v>
      </c>
      <c r="L8" s="26">
        <f t="shared" si="0"/>
        <v>1</v>
      </c>
      <c r="M8" s="28" t="s">
        <v>149</v>
      </c>
    </row>
    <row r="9" spans="1:13" ht="30" customHeight="1" x14ac:dyDescent="0.25">
      <c r="A9" s="18" t="s">
        <v>159</v>
      </c>
      <c r="B9" s="18" t="s">
        <v>160</v>
      </c>
      <c r="C9" s="27" t="s">
        <v>161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29">
        <v>2</v>
      </c>
      <c r="J9" s="30">
        <v>0</v>
      </c>
      <c r="K9" s="30">
        <v>0</v>
      </c>
      <c r="L9" s="26">
        <f t="shared" si="0"/>
        <v>2</v>
      </c>
      <c r="M9" s="28" t="s">
        <v>149</v>
      </c>
    </row>
    <row r="10" spans="1:13" ht="30" customHeight="1" x14ac:dyDescent="0.25">
      <c r="A10" s="18" t="s">
        <v>159</v>
      </c>
      <c r="B10" s="18" t="s">
        <v>162</v>
      </c>
      <c r="C10" s="27" t="s">
        <v>163</v>
      </c>
      <c r="D10" s="30">
        <v>0</v>
      </c>
      <c r="E10" s="30">
        <v>0</v>
      </c>
      <c r="F10" s="28">
        <v>1</v>
      </c>
      <c r="G10" s="29">
        <v>2</v>
      </c>
      <c r="H10" s="28">
        <v>1</v>
      </c>
      <c r="I10" s="28">
        <v>1</v>
      </c>
      <c r="J10" s="30">
        <v>0</v>
      </c>
      <c r="K10" s="30">
        <v>0</v>
      </c>
      <c r="L10" s="26">
        <f t="shared" si="0"/>
        <v>5</v>
      </c>
      <c r="M10" s="29" t="s">
        <v>154</v>
      </c>
    </row>
    <row r="11" spans="1:13" ht="30" customHeight="1" x14ac:dyDescent="0.25">
      <c r="A11" s="18" t="s">
        <v>159</v>
      </c>
      <c r="B11" s="18" t="s">
        <v>164</v>
      </c>
      <c r="C11" s="27" t="s">
        <v>165</v>
      </c>
      <c r="D11" s="30">
        <v>0</v>
      </c>
      <c r="E11" s="28">
        <v>1</v>
      </c>
      <c r="F11" s="30">
        <v>0</v>
      </c>
      <c r="G11" s="28">
        <v>1</v>
      </c>
      <c r="H11" s="30">
        <v>0</v>
      </c>
      <c r="I11" s="30">
        <v>0</v>
      </c>
      <c r="J11" s="30">
        <v>0</v>
      </c>
      <c r="K11" s="30">
        <v>0</v>
      </c>
      <c r="L11" s="26">
        <f t="shared" si="0"/>
        <v>2</v>
      </c>
      <c r="M11" s="29" t="s">
        <v>154</v>
      </c>
    </row>
    <row r="12" spans="1:13" ht="30" customHeight="1" x14ac:dyDescent="0.25">
      <c r="A12" s="18" t="s">
        <v>159</v>
      </c>
      <c r="B12" s="18" t="s">
        <v>166</v>
      </c>
      <c r="C12" s="27" t="s">
        <v>167</v>
      </c>
      <c r="D12" s="30">
        <v>0</v>
      </c>
      <c r="E12" s="30">
        <v>0</v>
      </c>
      <c r="F12" s="28">
        <v>1</v>
      </c>
      <c r="G12" s="29">
        <v>2</v>
      </c>
      <c r="H12" s="30">
        <v>0</v>
      </c>
      <c r="I12" s="30">
        <v>0</v>
      </c>
      <c r="J12" s="30">
        <v>0</v>
      </c>
      <c r="K12" s="28">
        <v>1</v>
      </c>
      <c r="L12" s="26">
        <f t="shared" si="0"/>
        <v>4</v>
      </c>
      <c r="M12" s="29" t="s">
        <v>154</v>
      </c>
    </row>
    <row r="13" spans="1:13" ht="30" customHeight="1" x14ac:dyDescent="0.25">
      <c r="A13" s="18" t="s">
        <v>159</v>
      </c>
      <c r="B13" s="18" t="s">
        <v>168</v>
      </c>
      <c r="C13" s="27" t="s">
        <v>169</v>
      </c>
      <c r="D13" s="30">
        <v>0</v>
      </c>
      <c r="E13" s="30">
        <v>0</v>
      </c>
      <c r="F13" s="30">
        <v>0</v>
      </c>
      <c r="G13" s="30">
        <v>0</v>
      </c>
      <c r="H13" s="29">
        <v>2</v>
      </c>
      <c r="I13" s="28">
        <v>1</v>
      </c>
      <c r="J13" s="30">
        <v>0</v>
      </c>
      <c r="K13" s="30">
        <v>0</v>
      </c>
      <c r="L13" s="26">
        <f t="shared" si="0"/>
        <v>3</v>
      </c>
      <c r="M13" s="29" t="s">
        <v>154</v>
      </c>
    </row>
    <row r="14" spans="1:13" ht="30" customHeight="1" x14ac:dyDescent="0.25">
      <c r="A14" s="18" t="s">
        <v>159</v>
      </c>
      <c r="B14" s="18" t="s">
        <v>170</v>
      </c>
      <c r="C14" s="27" t="s">
        <v>171</v>
      </c>
      <c r="D14" s="30">
        <v>0</v>
      </c>
      <c r="E14" s="30">
        <v>0</v>
      </c>
      <c r="F14" s="30">
        <v>0</v>
      </c>
      <c r="G14" s="30">
        <v>0</v>
      </c>
      <c r="H14" s="28">
        <v>1</v>
      </c>
      <c r="I14" s="28">
        <v>1</v>
      </c>
      <c r="J14" s="30">
        <v>0</v>
      </c>
      <c r="K14" s="30">
        <v>0</v>
      </c>
      <c r="L14" s="26">
        <f t="shared" si="0"/>
        <v>2</v>
      </c>
      <c r="M14" s="29" t="s">
        <v>154</v>
      </c>
    </row>
    <row r="15" spans="1:13" ht="30" customHeight="1" x14ac:dyDescent="0.25">
      <c r="A15" s="18" t="s">
        <v>159</v>
      </c>
      <c r="B15" s="18" t="s">
        <v>172</v>
      </c>
      <c r="C15" s="27" t="s">
        <v>173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28">
        <v>1</v>
      </c>
      <c r="J15" s="30">
        <v>0</v>
      </c>
      <c r="K15" s="29">
        <v>2</v>
      </c>
      <c r="L15" s="26">
        <f t="shared" si="0"/>
        <v>3</v>
      </c>
      <c r="M15" s="29" t="s">
        <v>154</v>
      </c>
    </row>
    <row r="16" spans="1:13" ht="30" customHeight="1" x14ac:dyDescent="0.25">
      <c r="A16" s="18" t="s">
        <v>159</v>
      </c>
      <c r="B16" s="18" t="s">
        <v>174</v>
      </c>
      <c r="C16" s="27" t="s">
        <v>175</v>
      </c>
      <c r="D16" s="30">
        <v>0</v>
      </c>
      <c r="E16" s="28">
        <v>1</v>
      </c>
      <c r="F16" s="28">
        <v>1</v>
      </c>
      <c r="G16" s="30">
        <v>0</v>
      </c>
      <c r="H16" s="30">
        <v>0</v>
      </c>
      <c r="I16" s="30">
        <v>0</v>
      </c>
      <c r="J16" s="30">
        <v>0</v>
      </c>
      <c r="K16" s="28">
        <v>1</v>
      </c>
      <c r="L16" s="26">
        <f t="shared" si="0"/>
        <v>3</v>
      </c>
      <c r="M16" s="28" t="s">
        <v>149</v>
      </c>
    </row>
    <row r="17" spans="1:13" ht="30" customHeight="1" x14ac:dyDescent="0.25">
      <c r="A17" s="18" t="s">
        <v>159</v>
      </c>
      <c r="B17" s="18" t="s">
        <v>176</v>
      </c>
      <c r="C17" s="27" t="s">
        <v>177</v>
      </c>
      <c r="D17" s="30">
        <v>0</v>
      </c>
      <c r="E17" s="30">
        <v>0</v>
      </c>
      <c r="F17" s="29">
        <v>2</v>
      </c>
      <c r="G17" s="28">
        <v>1</v>
      </c>
      <c r="H17" s="30">
        <v>0</v>
      </c>
      <c r="I17" s="28">
        <v>1</v>
      </c>
      <c r="J17" s="30">
        <v>0</v>
      </c>
      <c r="K17" s="30">
        <v>0</v>
      </c>
      <c r="L17" s="26">
        <f t="shared" si="0"/>
        <v>4</v>
      </c>
      <c r="M17" s="29" t="s">
        <v>154</v>
      </c>
    </row>
    <row r="18" spans="1:13" ht="30" customHeight="1" x14ac:dyDescent="0.25">
      <c r="A18" s="18" t="s">
        <v>159</v>
      </c>
      <c r="B18" s="18" t="s">
        <v>178</v>
      </c>
      <c r="C18" s="27" t="s">
        <v>179</v>
      </c>
      <c r="D18" s="30">
        <v>0</v>
      </c>
      <c r="E18" s="30">
        <v>0</v>
      </c>
      <c r="F18" s="30">
        <v>0</v>
      </c>
      <c r="G18" s="30">
        <v>0</v>
      </c>
      <c r="H18" s="28">
        <v>1</v>
      </c>
      <c r="I18" s="28">
        <v>1</v>
      </c>
      <c r="J18" s="30">
        <v>0</v>
      </c>
      <c r="K18" s="30">
        <v>0</v>
      </c>
      <c r="L18" s="26">
        <f t="shared" si="0"/>
        <v>2</v>
      </c>
      <c r="M18" s="28" t="s">
        <v>149</v>
      </c>
    </row>
    <row r="19" spans="1:13" ht="30" customHeight="1" x14ac:dyDescent="0.25">
      <c r="A19" s="18" t="s">
        <v>159</v>
      </c>
      <c r="B19" s="18" t="s">
        <v>180</v>
      </c>
      <c r="C19" s="27" t="s">
        <v>181</v>
      </c>
      <c r="D19" s="28">
        <v>1</v>
      </c>
      <c r="E19" s="28">
        <v>1</v>
      </c>
      <c r="F19" s="28">
        <v>1</v>
      </c>
      <c r="G19" s="30">
        <v>0</v>
      </c>
      <c r="H19" s="29">
        <v>2</v>
      </c>
      <c r="I19" s="28">
        <v>1</v>
      </c>
      <c r="J19" s="30">
        <v>0</v>
      </c>
      <c r="K19" s="30">
        <v>0</v>
      </c>
      <c r="L19" s="26">
        <f t="shared" si="0"/>
        <v>6</v>
      </c>
      <c r="M19" s="29" t="s">
        <v>154</v>
      </c>
    </row>
    <row r="20" spans="1:13" ht="30" customHeight="1" x14ac:dyDescent="0.25">
      <c r="A20" s="18" t="s">
        <v>159</v>
      </c>
      <c r="B20" s="18" t="s">
        <v>182</v>
      </c>
      <c r="C20" s="27" t="s">
        <v>183</v>
      </c>
      <c r="D20" s="29">
        <v>2</v>
      </c>
      <c r="E20" s="30">
        <v>0</v>
      </c>
      <c r="F20" s="30">
        <v>0</v>
      </c>
      <c r="G20" s="30">
        <v>0</v>
      </c>
      <c r="H20" s="30">
        <v>0</v>
      </c>
      <c r="I20" s="28">
        <v>1</v>
      </c>
      <c r="J20" s="29">
        <v>2</v>
      </c>
      <c r="K20" s="30">
        <v>0</v>
      </c>
      <c r="L20" s="26">
        <f t="shared" si="0"/>
        <v>5</v>
      </c>
      <c r="M20" s="29" t="s">
        <v>154</v>
      </c>
    </row>
    <row r="21" spans="1:13" ht="30" customHeight="1" x14ac:dyDescent="0.25">
      <c r="A21" s="18" t="s">
        <v>159</v>
      </c>
      <c r="B21" s="18" t="s">
        <v>184</v>
      </c>
      <c r="C21" s="27" t="s">
        <v>185</v>
      </c>
      <c r="D21" s="29">
        <v>2</v>
      </c>
      <c r="E21" s="30">
        <v>0</v>
      </c>
      <c r="F21" s="30">
        <v>0</v>
      </c>
      <c r="G21" s="30">
        <v>0</v>
      </c>
      <c r="H21" s="30">
        <v>0</v>
      </c>
      <c r="I21" s="29">
        <v>2</v>
      </c>
      <c r="J21" s="29">
        <v>2</v>
      </c>
      <c r="K21" s="30">
        <v>0</v>
      </c>
      <c r="L21" s="26">
        <f t="shared" si="0"/>
        <v>6</v>
      </c>
      <c r="M21" s="29" t="s">
        <v>154</v>
      </c>
    </row>
    <row r="22" spans="1:13" ht="30" customHeight="1" x14ac:dyDescent="0.25">
      <c r="A22" s="18" t="s">
        <v>159</v>
      </c>
      <c r="B22" s="18" t="s">
        <v>186</v>
      </c>
      <c r="C22" s="27" t="s">
        <v>187</v>
      </c>
      <c r="D22" s="28">
        <v>1</v>
      </c>
      <c r="E22" s="29">
        <v>2</v>
      </c>
      <c r="F22" s="30">
        <v>0</v>
      </c>
      <c r="G22" s="30">
        <v>0</v>
      </c>
      <c r="H22" s="30">
        <v>0</v>
      </c>
      <c r="I22" s="28">
        <v>1</v>
      </c>
      <c r="J22" s="28">
        <v>1</v>
      </c>
      <c r="K22" s="30">
        <v>0</v>
      </c>
      <c r="L22" s="26">
        <f t="shared" si="0"/>
        <v>5</v>
      </c>
      <c r="M22" s="29" t="s">
        <v>154</v>
      </c>
    </row>
    <row r="23" spans="1:13" ht="30" customHeight="1" x14ac:dyDescent="0.25">
      <c r="A23" s="29" t="s">
        <v>188</v>
      </c>
      <c r="B23" s="29" t="s">
        <v>189</v>
      </c>
      <c r="C23" s="27" t="s">
        <v>190</v>
      </c>
      <c r="D23" s="30">
        <v>0</v>
      </c>
      <c r="E23" s="30">
        <v>0</v>
      </c>
      <c r="F23" s="30">
        <v>0</v>
      </c>
      <c r="G23" s="28">
        <v>1</v>
      </c>
      <c r="H23" s="29">
        <v>2</v>
      </c>
      <c r="I23" s="28">
        <v>1</v>
      </c>
      <c r="J23" s="30">
        <v>0</v>
      </c>
      <c r="K23" s="30">
        <v>0</v>
      </c>
      <c r="L23" s="26">
        <f t="shared" si="0"/>
        <v>4</v>
      </c>
      <c r="M23" s="29" t="s">
        <v>154</v>
      </c>
    </row>
    <row r="24" spans="1:13" ht="30" customHeight="1" x14ac:dyDescent="0.25">
      <c r="A24" s="29" t="s">
        <v>188</v>
      </c>
      <c r="B24" s="29" t="s">
        <v>191</v>
      </c>
      <c r="C24" s="27" t="s">
        <v>192</v>
      </c>
      <c r="D24" s="30">
        <v>0</v>
      </c>
      <c r="E24" s="28">
        <v>1</v>
      </c>
      <c r="F24" s="28">
        <v>1</v>
      </c>
      <c r="G24" s="28">
        <v>1</v>
      </c>
      <c r="H24" s="28">
        <v>1</v>
      </c>
      <c r="I24" s="30">
        <v>0</v>
      </c>
      <c r="J24" s="30">
        <v>0</v>
      </c>
      <c r="K24" s="30">
        <v>0</v>
      </c>
      <c r="L24" s="26">
        <f t="shared" si="0"/>
        <v>4</v>
      </c>
      <c r="M24" s="29" t="s">
        <v>154</v>
      </c>
    </row>
    <row r="25" spans="1:13" ht="30" customHeight="1" x14ac:dyDescent="0.25">
      <c r="A25" s="29" t="s">
        <v>188</v>
      </c>
      <c r="B25" s="29" t="s">
        <v>193</v>
      </c>
      <c r="C25" s="27" t="s">
        <v>194</v>
      </c>
      <c r="D25" s="30">
        <v>0</v>
      </c>
      <c r="E25" s="29">
        <v>2</v>
      </c>
      <c r="F25" s="28">
        <v>1</v>
      </c>
      <c r="G25" s="29">
        <v>2</v>
      </c>
      <c r="H25" s="28">
        <v>1</v>
      </c>
      <c r="I25" s="30">
        <v>0</v>
      </c>
      <c r="J25" s="30">
        <v>0</v>
      </c>
      <c r="K25" s="30">
        <v>0</v>
      </c>
      <c r="L25" s="26">
        <f t="shared" si="0"/>
        <v>6</v>
      </c>
      <c r="M25" s="29" t="s">
        <v>154</v>
      </c>
    </row>
    <row r="26" spans="1:13" ht="30" customHeight="1" x14ac:dyDescent="0.25">
      <c r="A26" s="29" t="s">
        <v>188</v>
      </c>
      <c r="B26" s="29" t="s">
        <v>195</v>
      </c>
      <c r="C26" s="27" t="s">
        <v>196</v>
      </c>
      <c r="D26" s="28">
        <v>1</v>
      </c>
      <c r="E26" s="30">
        <v>0</v>
      </c>
      <c r="F26" s="29">
        <v>2</v>
      </c>
      <c r="G26" s="30">
        <v>0</v>
      </c>
      <c r="H26" s="30">
        <v>0</v>
      </c>
      <c r="I26" s="30">
        <v>0</v>
      </c>
      <c r="J26" s="28">
        <v>1</v>
      </c>
      <c r="K26" s="30">
        <v>0</v>
      </c>
      <c r="L26" s="26">
        <f t="shared" si="0"/>
        <v>4</v>
      </c>
      <c r="M26" s="29" t="s">
        <v>154</v>
      </c>
    </row>
    <row r="27" spans="1:13" ht="30" customHeight="1" x14ac:dyDescent="0.25">
      <c r="A27" s="29" t="s">
        <v>188</v>
      </c>
      <c r="B27" s="29" t="s">
        <v>197</v>
      </c>
      <c r="C27" s="27" t="s">
        <v>198</v>
      </c>
      <c r="D27" s="30">
        <v>0</v>
      </c>
      <c r="E27" s="30">
        <v>0</v>
      </c>
      <c r="F27" s="30">
        <v>0</v>
      </c>
      <c r="G27" s="28">
        <v>1</v>
      </c>
      <c r="H27" s="30">
        <v>0</v>
      </c>
      <c r="I27" s="30">
        <v>0</v>
      </c>
      <c r="J27" s="30">
        <v>0</v>
      </c>
      <c r="K27" s="29">
        <v>2</v>
      </c>
      <c r="L27" s="26">
        <f t="shared" si="0"/>
        <v>3</v>
      </c>
      <c r="M27" s="28" t="s">
        <v>149</v>
      </c>
    </row>
    <row r="28" spans="1:13" ht="30" customHeight="1" x14ac:dyDescent="0.25">
      <c r="A28" s="29" t="s">
        <v>188</v>
      </c>
      <c r="B28" s="29" t="s">
        <v>199</v>
      </c>
      <c r="C28" s="27" t="s">
        <v>200</v>
      </c>
      <c r="D28" s="28">
        <v>1</v>
      </c>
      <c r="E28" s="28">
        <v>1</v>
      </c>
      <c r="F28" s="30">
        <v>0</v>
      </c>
      <c r="G28" s="28">
        <v>1</v>
      </c>
      <c r="H28" s="30">
        <v>0</v>
      </c>
      <c r="I28" s="28">
        <v>1</v>
      </c>
      <c r="J28" s="28">
        <v>1</v>
      </c>
      <c r="K28" s="30">
        <v>0</v>
      </c>
      <c r="L28" s="26">
        <f t="shared" si="0"/>
        <v>5</v>
      </c>
      <c r="M28" s="29" t="s">
        <v>154</v>
      </c>
    </row>
    <row r="29" spans="1:13" ht="30" customHeight="1" x14ac:dyDescent="0.25">
      <c r="A29" s="29" t="s">
        <v>188</v>
      </c>
      <c r="B29" s="29" t="s">
        <v>201</v>
      </c>
      <c r="C29" s="27" t="s">
        <v>202</v>
      </c>
      <c r="D29" s="30">
        <v>0</v>
      </c>
      <c r="E29" s="28">
        <v>1</v>
      </c>
      <c r="F29" s="30">
        <v>0</v>
      </c>
      <c r="G29" s="30">
        <v>0</v>
      </c>
      <c r="H29" s="28">
        <v>1</v>
      </c>
      <c r="I29" s="30">
        <v>0</v>
      </c>
      <c r="J29" s="30">
        <v>0</v>
      </c>
      <c r="K29" s="30">
        <v>0</v>
      </c>
      <c r="L29" s="26">
        <f t="shared" si="0"/>
        <v>2</v>
      </c>
      <c r="M29" s="28" t="s">
        <v>149</v>
      </c>
    </row>
    <row r="30" spans="1:13" ht="30" customHeight="1" x14ac:dyDescent="0.25">
      <c r="A30" s="29" t="s">
        <v>188</v>
      </c>
      <c r="B30" s="29" t="s">
        <v>203</v>
      </c>
      <c r="C30" s="27" t="s">
        <v>204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29">
        <v>2</v>
      </c>
      <c r="L30" s="26">
        <f t="shared" si="0"/>
        <v>2</v>
      </c>
      <c r="M30" s="29" t="s">
        <v>154</v>
      </c>
    </row>
    <row r="31" spans="1:13" ht="30" customHeight="1" x14ac:dyDescent="0.25">
      <c r="A31" s="29" t="s">
        <v>188</v>
      </c>
      <c r="B31" s="29" t="s">
        <v>205</v>
      </c>
      <c r="C31" s="27" t="s">
        <v>206</v>
      </c>
      <c r="D31" s="28">
        <v>1</v>
      </c>
      <c r="E31" s="30">
        <v>0</v>
      </c>
      <c r="F31" s="30">
        <v>0</v>
      </c>
      <c r="G31" s="30">
        <v>0</v>
      </c>
      <c r="H31" s="30">
        <v>0</v>
      </c>
      <c r="I31" s="28">
        <v>1</v>
      </c>
      <c r="J31" s="30">
        <v>0</v>
      </c>
      <c r="K31" s="30">
        <v>0</v>
      </c>
      <c r="L31" s="26">
        <f t="shared" si="0"/>
        <v>2</v>
      </c>
      <c r="M31" s="28" t="s">
        <v>149</v>
      </c>
    </row>
    <row r="32" spans="1:13" ht="30" customHeight="1" x14ac:dyDescent="0.25">
      <c r="A32" s="29" t="s">
        <v>188</v>
      </c>
      <c r="B32" s="29" t="s">
        <v>207</v>
      </c>
      <c r="C32" s="27" t="s">
        <v>208</v>
      </c>
      <c r="D32" s="28">
        <v>1</v>
      </c>
      <c r="E32" s="28">
        <v>1</v>
      </c>
      <c r="F32" s="30">
        <v>0</v>
      </c>
      <c r="G32" s="30">
        <v>0</v>
      </c>
      <c r="H32" s="30">
        <v>0</v>
      </c>
      <c r="I32" s="28">
        <v>1</v>
      </c>
      <c r="J32" s="28">
        <v>1</v>
      </c>
      <c r="K32" s="30">
        <v>0</v>
      </c>
      <c r="L32" s="26">
        <f t="shared" si="0"/>
        <v>4</v>
      </c>
      <c r="M32" s="29" t="s">
        <v>154</v>
      </c>
    </row>
    <row r="33" spans="1:13" ht="30" customHeight="1" x14ac:dyDescent="0.25">
      <c r="A33" s="29" t="s">
        <v>188</v>
      </c>
      <c r="B33" s="29" t="s">
        <v>209</v>
      </c>
      <c r="C33" s="27" t="s">
        <v>210</v>
      </c>
      <c r="D33" s="30">
        <v>0</v>
      </c>
      <c r="E33" s="30">
        <v>0</v>
      </c>
      <c r="F33" s="30">
        <v>0</v>
      </c>
      <c r="G33" s="30">
        <v>0</v>
      </c>
      <c r="H33" s="29">
        <v>2</v>
      </c>
      <c r="I33" s="30">
        <v>0</v>
      </c>
      <c r="J33" s="30">
        <v>0</v>
      </c>
      <c r="K33" s="30">
        <v>0</v>
      </c>
      <c r="L33" s="26">
        <f t="shared" si="0"/>
        <v>2</v>
      </c>
      <c r="M33" s="29" t="s">
        <v>154</v>
      </c>
    </row>
    <row r="34" spans="1:13" ht="30" customHeight="1" x14ac:dyDescent="0.25">
      <c r="A34" s="26" t="s">
        <v>211</v>
      </c>
      <c r="B34" s="26" t="s">
        <v>212</v>
      </c>
      <c r="C34" s="27" t="s">
        <v>213</v>
      </c>
      <c r="D34" s="28">
        <v>1</v>
      </c>
      <c r="E34" s="29">
        <v>2</v>
      </c>
      <c r="F34" s="29">
        <v>2</v>
      </c>
      <c r="G34" s="30">
        <v>0</v>
      </c>
      <c r="H34" s="30">
        <v>0</v>
      </c>
      <c r="I34" s="28">
        <v>1</v>
      </c>
      <c r="J34" s="28">
        <v>1</v>
      </c>
      <c r="K34" s="30">
        <v>0</v>
      </c>
      <c r="L34" s="26">
        <f t="shared" si="0"/>
        <v>7</v>
      </c>
      <c r="M34" s="29" t="s">
        <v>154</v>
      </c>
    </row>
    <row r="35" spans="1:13" ht="30" customHeight="1" x14ac:dyDescent="0.25">
      <c r="A35" s="26" t="s">
        <v>211</v>
      </c>
      <c r="B35" s="26" t="s">
        <v>214</v>
      </c>
      <c r="C35" s="27" t="s">
        <v>215</v>
      </c>
      <c r="D35" s="30">
        <v>0</v>
      </c>
      <c r="E35" s="30">
        <v>0</v>
      </c>
      <c r="F35" s="29">
        <v>2</v>
      </c>
      <c r="G35" s="28">
        <v>1</v>
      </c>
      <c r="H35" s="30">
        <v>0</v>
      </c>
      <c r="I35" s="28">
        <v>1</v>
      </c>
      <c r="J35" s="28">
        <v>1</v>
      </c>
      <c r="K35" s="30">
        <v>0</v>
      </c>
      <c r="L35" s="26">
        <f t="shared" si="0"/>
        <v>5</v>
      </c>
      <c r="M35" s="29" t="s">
        <v>154</v>
      </c>
    </row>
    <row r="36" spans="1:13" ht="30" customHeight="1" x14ac:dyDescent="0.25">
      <c r="A36" s="26" t="s">
        <v>211</v>
      </c>
      <c r="B36" s="26" t="s">
        <v>216</v>
      </c>
      <c r="C36" s="27" t="s">
        <v>217</v>
      </c>
      <c r="D36" s="28">
        <v>1</v>
      </c>
      <c r="E36" s="28">
        <v>1</v>
      </c>
      <c r="F36" s="28">
        <v>1</v>
      </c>
      <c r="G36" s="30">
        <v>0</v>
      </c>
      <c r="H36" s="30">
        <v>0</v>
      </c>
      <c r="I36" s="28">
        <v>1</v>
      </c>
      <c r="J36" s="28">
        <v>1</v>
      </c>
      <c r="K36" s="30">
        <v>0</v>
      </c>
      <c r="L36" s="26">
        <f t="shared" si="0"/>
        <v>5</v>
      </c>
      <c r="M36" s="29" t="s">
        <v>154</v>
      </c>
    </row>
    <row r="37" spans="1:13" ht="30" customHeight="1" x14ac:dyDescent="0.25">
      <c r="A37" s="26" t="s">
        <v>211</v>
      </c>
      <c r="B37" s="26" t="s">
        <v>218</v>
      </c>
      <c r="C37" s="27" t="s">
        <v>219</v>
      </c>
      <c r="D37" s="29">
        <v>2</v>
      </c>
      <c r="E37" s="30">
        <v>0</v>
      </c>
      <c r="F37" s="29">
        <v>2</v>
      </c>
      <c r="G37" s="30">
        <v>0</v>
      </c>
      <c r="H37" s="30">
        <v>0</v>
      </c>
      <c r="I37" s="28">
        <v>1</v>
      </c>
      <c r="J37" s="29">
        <v>2</v>
      </c>
      <c r="K37" s="30">
        <v>0</v>
      </c>
      <c r="L37" s="26">
        <f t="shared" si="0"/>
        <v>7</v>
      </c>
      <c r="M37" s="29" t="s">
        <v>154</v>
      </c>
    </row>
    <row r="38" spans="1:13" ht="30" customHeight="1" x14ac:dyDescent="0.25">
      <c r="A38" s="26" t="s">
        <v>211</v>
      </c>
      <c r="B38" s="26" t="s">
        <v>220</v>
      </c>
      <c r="C38" s="27" t="s">
        <v>221</v>
      </c>
      <c r="D38" s="29">
        <v>2</v>
      </c>
      <c r="E38" s="30">
        <v>0</v>
      </c>
      <c r="F38" s="30">
        <v>0</v>
      </c>
      <c r="G38" s="30">
        <v>0</v>
      </c>
      <c r="H38" s="30">
        <v>0</v>
      </c>
      <c r="I38" s="29">
        <v>2</v>
      </c>
      <c r="J38" s="29">
        <v>2</v>
      </c>
      <c r="K38" s="30">
        <v>0</v>
      </c>
      <c r="L38" s="26">
        <f t="shared" si="0"/>
        <v>6</v>
      </c>
      <c r="M38" s="29" t="s">
        <v>154</v>
      </c>
    </row>
    <row r="39" spans="1:13" ht="30" customHeight="1" x14ac:dyDescent="0.25">
      <c r="A39" s="26" t="s">
        <v>211</v>
      </c>
      <c r="B39" s="26" t="s">
        <v>222</v>
      </c>
      <c r="C39" s="27" t="s">
        <v>223</v>
      </c>
      <c r="D39" s="28">
        <v>1</v>
      </c>
      <c r="E39" s="28">
        <v>1</v>
      </c>
      <c r="F39" s="30">
        <v>0</v>
      </c>
      <c r="G39" s="30">
        <v>0</v>
      </c>
      <c r="H39" s="30">
        <v>0</v>
      </c>
      <c r="I39" s="29">
        <v>2</v>
      </c>
      <c r="J39" s="28">
        <v>1</v>
      </c>
      <c r="K39" s="30">
        <v>0</v>
      </c>
      <c r="L39" s="26">
        <f t="shared" si="0"/>
        <v>5</v>
      </c>
      <c r="M39" s="29" t="s">
        <v>154</v>
      </c>
    </row>
    <row r="40" spans="1:13" ht="30" customHeight="1" x14ac:dyDescent="0.25">
      <c r="A40" s="20" t="s">
        <v>224</v>
      </c>
      <c r="B40" s="20" t="s">
        <v>225</v>
      </c>
      <c r="C40" s="27" t="s">
        <v>226</v>
      </c>
      <c r="D40" s="30">
        <v>0</v>
      </c>
      <c r="E40" s="30">
        <v>0</v>
      </c>
      <c r="F40" s="30">
        <v>0</v>
      </c>
      <c r="G40" s="30">
        <v>0</v>
      </c>
      <c r="H40" s="28">
        <v>1</v>
      </c>
      <c r="I40" s="29">
        <v>2</v>
      </c>
      <c r="J40" s="28">
        <v>1</v>
      </c>
      <c r="K40" s="30">
        <v>0</v>
      </c>
      <c r="L40" s="26">
        <f t="shared" si="0"/>
        <v>4</v>
      </c>
      <c r="M40" s="29" t="s">
        <v>154</v>
      </c>
    </row>
    <row r="41" spans="1:13" ht="30" customHeight="1" x14ac:dyDescent="0.25">
      <c r="A41" s="20" t="s">
        <v>224</v>
      </c>
      <c r="B41" s="20" t="s">
        <v>227</v>
      </c>
      <c r="C41" s="27" t="s">
        <v>228</v>
      </c>
      <c r="D41" s="28">
        <v>1</v>
      </c>
      <c r="E41" s="30">
        <v>0</v>
      </c>
      <c r="F41" s="30">
        <v>0</v>
      </c>
      <c r="G41" s="30">
        <v>0</v>
      </c>
      <c r="H41" s="30">
        <v>0</v>
      </c>
      <c r="I41" s="29">
        <v>2</v>
      </c>
      <c r="J41" s="28">
        <v>1</v>
      </c>
      <c r="K41" s="30">
        <v>0</v>
      </c>
      <c r="L41" s="26">
        <f t="shared" si="0"/>
        <v>4</v>
      </c>
      <c r="M41" s="29" t="s">
        <v>154</v>
      </c>
    </row>
    <row r="42" spans="1:13" ht="30" customHeight="1" x14ac:dyDescent="0.25">
      <c r="A42" s="20" t="s">
        <v>224</v>
      </c>
      <c r="B42" s="20" t="s">
        <v>229</v>
      </c>
      <c r="C42" s="27" t="s">
        <v>230</v>
      </c>
      <c r="D42" s="28">
        <v>1</v>
      </c>
      <c r="E42" s="30">
        <v>0</v>
      </c>
      <c r="F42" s="30">
        <v>0</v>
      </c>
      <c r="G42" s="30">
        <v>0</v>
      </c>
      <c r="H42" s="30">
        <v>0</v>
      </c>
      <c r="I42" s="29">
        <v>2</v>
      </c>
      <c r="J42" s="29">
        <v>2</v>
      </c>
      <c r="K42" s="30">
        <v>0</v>
      </c>
      <c r="L42" s="26">
        <f t="shared" si="0"/>
        <v>5</v>
      </c>
      <c r="M42" s="29" t="s">
        <v>154</v>
      </c>
    </row>
    <row r="43" spans="1:13" ht="30" customHeight="1" x14ac:dyDescent="0.25">
      <c r="A43" s="20" t="s">
        <v>224</v>
      </c>
      <c r="B43" s="20" t="s">
        <v>231</v>
      </c>
      <c r="C43" s="27" t="s">
        <v>232</v>
      </c>
      <c r="D43" s="28">
        <v>1</v>
      </c>
      <c r="E43" s="30">
        <v>0</v>
      </c>
      <c r="F43" s="30">
        <v>0</v>
      </c>
      <c r="G43" s="30">
        <v>0</v>
      </c>
      <c r="H43" s="30">
        <v>0</v>
      </c>
      <c r="I43" s="28">
        <v>1</v>
      </c>
      <c r="J43" s="28">
        <v>1</v>
      </c>
      <c r="K43" s="30">
        <v>0</v>
      </c>
      <c r="L43" s="26">
        <f t="shared" si="0"/>
        <v>3</v>
      </c>
      <c r="M43" s="28" t="s">
        <v>149</v>
      </c>
    </row>
    <row r="44" spans="1:13" ht="21.75" customHeight="1" x14ac:dyDescent="0.25">
      <c r="A44" s="10" t="s">
        <v>115</v>
      </c>
      <c r="B44" s="10"/>
      <c r="C44" s="10"/>
      <c r="D44" s="15">
        <f t="shared" ref="D44:K44" si="1">SUM(D4:D43)</f>
        <v>22</v>
      </c>
      <c r="E44" s="15">
        <f t="shared" si="1"/>
        <v>16</v>
      </c>
      <c r="F44" s="15">
        <f t="shared" si="1"/>
        <v>19</v>
      </c>
      <c r="G44" s="15">
        <f t="shared" si="1"/>
        <v>15</v>
      </c>
      <c r="H44" s="15">
        <f t="shared" si="1"/>
        <v>18</v>
      </c>
      <c r="I44" s="15">
        <f t="shared" si="1"/>
        <v>38</v>
      </c>
      <c r="J44" s="15">
        <f t="shared" si="1"/>
        <v>23</v>
      </c>
      <c r="K44" s="15">
        <f t="shared" si="1"/>
        <v>9</v>
      </c>
      <c r="L44" s="21"/>
      <c r="M44" s="21"/>
    </row>
    <row r="45" spans="1:13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spans="1:13" ht="24.75" customHeight="1" x14ac:dyDescent="0.25">
      <c r="A46" s="7" t="s">
        <v>233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34.5" customHeight="1" x14ac:dyDescent="0.25">
      <c r="A47" s="18" t="s">
        <v>234</v>
      </c>
      <c r="B47" s="18" t="s">
        <v>235</v>
      </c>
      <c r="C47" s="18" t="s">
        <v>236</v>
      </c>
      <c r="D47" s="18" t="s">
        <v>83</v>
      </c>
      <c r="E47" s="18" t="s">
        <v>237</v>
      </c>
      <c r="F47" s="18" t="s">
        <v>238</v>
      </c>
      <c r="G47" s="11" t="s">
        <v>239</v>
      </c>
      <c r="H47" s="11"/>
      <c r="I47" s="11"/>
      <c r="J47" s="11"/>
      <c r="K47" s="11"/>
      <c r="L47" s="11"/>
      <c r="M47" s="11"/>
    </row>
    <row r="48" spans="1:13" ht="54.75" customHeight="1" x14ac:dyDescent="0.25">
      <c r="A48" s="26" t="s">
        <v>211</v>
      </c>
      <c r="B48" s="26" t="s">
        <v>220</v>
      </c>
      <c r="C48" s="27" t="s">
        <v>240</v>
      </c>
      <c r="D48" s="26">
        <v>14</v>
      </c>
      <c r="E48" s="31" t="s">
        <v>241</v>
      </c>
      <c r="F48" s="29" t="s">
        <v>242</v>
      </c>
      <c r="G48" s="3" t="s">
        <v>243</v>
      </c>
      <c r="H48" s="3"/>
      <c r="I48" s="3"/>
      <c r="J48" s="3"/>
      <c r="K48" s="3"/>
      <c r="L48" s="3"/>
      <c r="M48" s="3"/>
    </row>
    <row r="49" spans="1:13" ht="54.75" customHeight="1" x14ac:dyDescent="0.25">
      <c r="A49" s="26" t="s">
        <v>211</v>
      </c>
      <c r="B49" s="26" t="s">
        <v>218</v>
      </c>
      <c r="C49" s="27" t="s">
        <v>219</v>
      </c>
      <c r="D49" s="26">
        <v>12</v>
      </c>
      <c r="E49" s="31" t="s">
        <v>241</v>
      </c>
      <c r="F49" s="29" t="s">
        <v>242</v>
      </c>
      <c r="G49" s="3" t="s">
        <v>244</v>
      </c>
      <c r="H49" s="3"/>
      <c r="I49" s="3"/>
      <c r="J49" s="3"/>
      <c r="K49" s="3"/>
      <c r="L49" s="3"/>
      <c r="M49" s="3"/>
    </row>
    <row r="50" spans="1:13" ht="54.75" customHeight="1" x14ac:dyDescent="0.25">
      <c r="A50" s="18" t="s">
        <v>159</v>
      </c>
      <c r="B50" s="18" t="s">
        <v>184</v>
      </c>
      <c r="C50" s="27" t="s">
        <v>185</v>
      </c>
      <c r="D50" s="26">
        <v>12</v>
      </c>
      <c r="E50" s="31" t="s">
        <v>241</v>
      </c>
      <c r="F50" s="29" t="s">
        <v>242</v>
      </c>
      <c r="G50" s="3" t="s">
        <v>245</v>
      </c>
      <c r="H50" s="3"/>
      <c r="I50" s="3"/>
      <c r="J50" s="3"/>
      <c r="K50" s="3"/>
      <c r="L50" s="3"/>
      <c r="M50" s="3"/>
    </row>
    <row r="51" spans="1:13" ht="54.75" customHeight="1" x14ac:dyDescent="0.25">
      <c r="A51" s="18" t="s">
        <v>159</v>
      </c>
      <c r="B51" s="18" t="s">
        <v>182</v>
      </c>
      <c r="C51" s="27" t="s">
        <v>183</v>
      </c>
      <c r="D51" s="26">
        <v>10</v>
      </c>
      <c r="E51" s="31" t="s">
        <v>241</v>
      </c>
      <c r="F51" s="29" t="s">
        <v>242</v>
      </c>
      <c r="G51" s="3" t="s">
        <v>246</v>
      </c>
      <c r="H51" s="3"/>
      <c r="I51" s="3"/>
      <c r="J51" s="3"/>
      <c r="K51" s="3"/>
      <c r="L51" s="3"/>
      <c r="M51" s="3"/>
    </row>
    <row r="52" spans="1:13" ht="54.75" customHeight="1" x14ac:dyDescent="0.25">
      <c r="A52" s="29" t="s">
        <v>188</v>
      </c>
      <c r="B52" s="29" t="s">
        <v>193</v>
      </c>
      <c r="C52" s="27" t="s">
        <v>247</v>
      </c>
      <c r="D52" s="26">
        <v>11</v>
      </c>
      <c r="E52" s="31" t="s">
        <v>241</v>
      </c>
      <c r="F52" s="29" t="s">
        <v>242</v>
      </c>
      <c r="G52" s="3" t="s">
        <v>248</v>
      </c>
      <c r="H52" s="3"/>
      <c r="I52" s="3"/>
      <c r="J52" s="3"/>
      <c r="K52" s="3"/>
      <c r="L52" s="3"/>
      <c r="M52" s="3"/>
    </row>
    <row r="53" spans="1:13" ht="54.75" customHeight="1" x14ac:dyDescent="0.25">
      <c r="A53" s="26" t="s">
        <v>211</v>
      </c>
      <c r="B53" s="26" t="s">
        <v>212</v>
      </c>
      <c r="C53" s="27" t="s">
        <v>213</v>
      </c>
      <c r="D53" s="26">
        <v>11</v>
      </c>
      <c r="E53" s="31" t="s">
        <v>241</v>
      </c>
      <c r="F53" s="29" t="s">
        <v>242</v>
      </c>
      <c r="G53" s="3" t="s">
        <v>249</v>
      </c>
      <c r="H53" s="3"/>
      <c r="I53" s="3"/>
      <c r="J53" s="3"/>
      <c r="K53" s="3"/>
      <c r="L53" s="3"/>
      <c r="M53" s="3"/>
    </row>
    <row r="54" spans="1:13" ht="54.75" customHeight="1" x14ac:dyDescent="0.25">
      <c r="A54" s="18" t="s">
        <v>159</v>
      </c>
      <c r="B54" s="18" t="s">
        <v>166</v>
      </c>
      <c r="C54" s="27" t="s">
        <v>167</v>
      </c>
      <c r="D54" s="26">
        <v>9</v>
      </c>
      <c r="E54" s="31" t="s">
        <v>250</v>
      </c>
      <c r="F54" s="29" t="s">
        <v>242</v>
      </c>
      <c r="G54" s="3" t="s">
        <v>251</v>
      </c>
      <c r="H54" s="3"/>
      <c r="I54" s="3"/>
      <c r="J54" s="3"/>
      <c r="K54" s="3"/>
      <c r="L54" s="3"/>
      <c r="M54" s="3"/>
    </row>
    <row r="55" spans="1:13" ht="54.75" customHeight="1" x14ac:dyDescent="0.25">
      <c r="A55" s="19" t="s">
        <v>146</v>
      </c>
      <c r="B55" s="19" t="s">
        <v>152</v>
      </c>
      <c r="C55" s="27" t="s">
        <v>252</v>
      </c>
      <c r="D55" s="26">
        <v>9</v>
      </c>
      <c r="E55" s="31" t="s">
        <v>250</v>
      </c>
      <c r="F55" s="29" t="s">
        <v>242</v>
      </c>
      <c r="G55" s="3" t="s">
        <v>253</v>
      </c>
      <c r="H55" s="3"/>
      <c r="I55" s="3"/>
      <c r="J55" s="3"/>
      <c r="K55" s="3"/>
      <c r="L55" s="3"/>
      <c r="M55" s="3"/>
    </row>
    <row r="56" spans="1:13" ht="54.75" customHeight="1" x14ac:dyDescent="0.25">
      <c r="A56" s="20" t="s">
        <v>224</v>
      </c>
      <c r="B56" s="20" t="s">
        <v>229</v>
      </c>
      <c r="C56" s="27" t="s">
        <v>254</v>
      </c>
      <c r="D56" s="26">
        <v>8</v>
      </c>
      <c r="E56" s="31" t="s">
        <v>241</v>
      </c>
      <c r="F56" s="29" t="s">
        <v>242</v>
      </c>
      <c r="G56" s="3" t="s">
        <v>255</v>
      </c>
      <c r="H56" s="3"/>
      <c r="I56" s="3"/>
      <c r="J56" s="3"/>
      <c r="K56" s="3"/>
      <c r="L56" s="3"/>
      <c r="M56" s="3"/>
    </row>
    <row r="57" spans="1:13" ht="54.75" customHeight="1" x14ac:dyDescent="0.25">
      <c r="A57" s="18" t="s">
        <v>159</v>
      </c>
      <c r="B57" s="18" t="s">
        <v>186</v>
      </c>
      <c r="C57" s="27" t="s">
        <v>187</v>
      </c>
      <c r="D57" s="26">
        <v>8</v>
      </c>
      <c r="E57" s="31" t="s">
        <v>241</v>
      </c>
      <c r="F57" s="29" t="s">
        <v>242</v>
      </c>
      <c r="G57" s="3" t="s">
        <v>256</v>
      </c>
      <c r="H57" s="3"/>
      <c r="I57" s="3"/>
      <c r="J57" s="3"/>
      <c r="K57" s="3"/>
      <c r="L57" s="3"/>
      <c r="M57" s="3"/>
    </row>
  </sheetData>
  <mergeCells count="16">
    <mergeCell ref="G57:M57"/>
    <mergeCell ref="G52:M52"/>
    <mergeCell ref="G53:M53"/>
    <mergeCell ref="G54:M54"/>
    <mergeCell ref="G55:M55"/>
    <mergeCell ref="G56:M56"/>
    <mergeCell ref="G47:M47"/>
    <mergeCell ref="G48:M48"/>
    <mergeCell ref="G49:M49"/>
    <mergeCell ref="G50:M50"/>
    <mergeCell ref="G51:M51"/>
    <mergeCell ref="A1:M1"/>
    <mergeCell ref="A2:M2"/>
    <mergeCell ref="A3:C3"/>
    <mergeCell ref="A44:C44"/>
    <mergeCell ref="A46:M4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showGridLines="0" zoomScaleNormal="100" workbookViewId="0">
      <selection sqref="A1:H1"/>
    </sheetView>
  </sheetViews>
  <sheetFormatPr baseColWidth="10" defaultColWidth="8.7109375" defaultRowHeight="15" x14ac:dyDescent="0.25"/>
  <cols>
    <col min="1" max="1" width="6" customWidth="1"/>
    <col min="2" max="2" width="8" customWidth="1"/>
    <col min="3" max="3" width="35" customWidth="1"/>
    <col min="4" max="4" width="16" customWidth="1"/>
    <col min="5" max="7" width="14" customWidth="1"/>
    <col min="8" max="8" width="45" customWidth="1"/>
  </cols>
  <sheetData>
    <row r="1" spans="1:8" ht="34.5" customHeight="1" x14ac:dyDescent="0.25">
      <c r="A1" s="12" t="s">
        <v>257</v>
      </c>
      <c r="B1" s="12"/>
      <c r="C1" s="12"/>
      <c r="D1" s="12"/>
      <c r="E1" s="12"/>
      <c r="F1" s="12"/>
      <c r="G1" s="12"/>
      <c r="H1" s="12"/>
    </row>
    <row r="2" spans="1:8" ht="19.5" customHeight="1" x14ac:dyDescent="0.25">
      <c r="A2" s="11" t="s">
        <v>258</v>
      </c>
      <c r="B2" s="11"/>
      <c r="C2" s="11"/>
      <c r="D2" s="11"/>
      <c r="E2" s="11"/>
      <c r="F2" s="11"/>
      <c r="G2" s="11"/>
      <c r="H2" s="11"/>
    </row>
    <row r="3" spans="1:8" ht="21.75" customHeight="1" x14ac:dyDescent="0.25">
      <c r="A3" s="2" t="s">
        <v>259</v>
      </c>
      <c r="B3" s="2"/>
      <c r="C3" s="2"/>
      <c r="D3" s="2"/>
      <c r="E3" s="2"/>
      <c r="F3" s="2"/>
      <c r="G3" s="2"/>
      <c r="H3" s="2"/>
    </row>
    <row r="4" spans="1:8" ht="27.75" customHeight="1" x14ac:dyDescent="0.25">
      <c r="A4" s="32" t="s">
        <v>260</v>
      </c>
      <c r="B4" s="1" t="s">
        <v>261</v>
      </c>
      <c r="C4" s="1"/>
      <c r="D4" s="3" t="s">
        <v>262</v>
      </c>
      <c r="E4" s="3"/>
      <c r="F4" s="3"/>
      <c r="G4" s="3"/>
      <c r="H4" s="3"/>
    </row>
    <row r="5" spans="1:8" ht="27.75" customHeight="1" x14ac:dyDescent="0.25">
      <c r="A5" s="32" t="s">
        <v>250</v>
      </c>
      <c r="B5" s="1" t="s">
        <v>263</v>
      </c>
      <c r="C5" s="1"/>
      <c r="D5" s="3" t="s">
        <v>264</v>
      </c>
      <c r="E5" s="3"/>
      <c r="F5" s="3"/>
      <c r="G5" s="3"/>
      <c r="H5" s="3"/>
    </row>
    <row r="6" spans="1:8" ht="27.75" customHeight="1" x14ac:dyDescent="0.25">
      <c r="A6" s="31" t="s">
        <v>241</v>
      </c>
      <c r="B6" s="35" t="s">
        <v>265</v>
      </c>
      <c r="C6" s="35"/>
      <c r="D6" s="5" t="s">
        <v>266</v>
      </c>
      <c r="E6" s="5"/>
      <c r="F6" s="5"/>
      <c r="G6" s="5"/>
      <c r="H6" s="5"/>
    </row>
    <row r="7" spans="1:8" ht="27.75" customHeight="1" x14ac:dyDescent="0.25">
      <c r="A7" s="29" t="s">
        <v>242</v>
      </c>
      <c r="B7" s="36" t="s">
        <v>267</v>
      </c>
      <c r="C7" s="36"/>
      <c r="D7" s="5" t="s">
        <v>268</v>
      </c>
      <c r="E7" s="5"/>
      <c r="F7" s="5"/>
      <c r="G7" s="5"/>
      <c r="H7" s="5"/>
    </row>
    <row r="8" spans="1:8" ht="27.75" customHeight="1" x14ac:dyDescent="0.25">
      <c r="A8" s="29" t="s">
        <v>269</v>
      </c>
      <c r="B8" s="36" t="s">
        <v>270</v>
      </c>
      <c r="C8" s="36"/>
      <c r="D8" s="5" t="s">
        <v>271</v>
      </c>
      <c r="E8" s="5"/>
      <c r="F8" s="5"/>
      <c r="G8" s="5"/>
      <c r="H8" s="5"/>
    </row>
    <row r="9" spans="1:8" ht="27.75" customHeight="1" x14ac:dyDescent="0.25">
      <c r="A9" s="29" t="s">
        <v>272</v>
      </c>
      <c r="B9" s="36" t="s">
        <v>273</v>
      </c>
      <c r="C9" s="36"/>
      <c r="D9" s="5" t="s">
        <v>274</v>
      </c>
      <c r="E9" s="5"/>
      <c r="F9" s="5"/>
      <c r="G9" s="5"/>
      <c r="H9" s="5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ht="34.5" customHeight="1" x14ac:dyDescent="0.25">
      <c r="A11" s="19" t="s">
        <v>234</v>
      </c>
      <c r="B11" s="19" t="s">
        <v>235</v>
      </c>
      <c r="C11" s="19" t="s">
        <v>236</v>
      </c>
      <c r="D11" s="19" t="s">
        <v>275</v>
      </c>
      <c r="E11" s="19" t="s">
        <v>276</v>
      </c>
      <c r="F11" s="19" t="s">
        <v>277</v>
      </c>
      <c r="G11" s="19" t="s">
        <v>80</v>
      </c>
      <c r="H11" s="19" t="s">
        <v>278</v>
      </c>
    </row>
    <row r="12" spans="1:8" ht="54.75" customHeight="1" x14ac:dyDescent="0.25">
      <c r="A12" s="19" t="s">
        <v>146</v>
      </c>
      <c r="B12" s="19" t="s">
        <v>147</v>
      </c>
      <c r="C12" s="27" t="s">
        <v>279</v>
      </c>
      <c r="D12" s="32" t="s">
        <v>250</v>
      </c>
      <c r="E12" s="29" t="s">
        <v>242</v>
      </c>
      <c r="F12" s="34" t="s">
        <v>280</v>
      </c>
      <c r="G12" s="32" t="s">
        <v>281</v>
      </c>
      <c r="H12" s="17" t="s">
        <v>282</v>
      </c>
    </row>
    <row r="13" spans="1:8" ht="54.75" customHeight="1" x14ac:dyDescent="0.25">
      <c r="A13" s="19" t="s">
        <v>146</v>
      </c>
      <c r="B13" s="19" t="s">
        <v>152</v>
      </c>
      <c r="C13" s="27" t="s">
        <v>283</v>
      </c>
      <c r="D13" s="32" t="s">
        <v>250</v>
      </c>
      <c r="E13" s="29" t="s">
        <v>242</v>
      </c>
      <c r="F13" s="34" t="s">
        <v>280</v>
      </c>
      <c r="G13" s="32" t="s">
        <v>281</v>
      </c>
      <c r="H13" s="17" t="s">
        <v>284</v>
      </c>
    </row>
    <row r="14" spans="1:8" ht="54.75" customHeight="1" x14ac:dyDescent="0.25">
      <c r="A14" s="18" t="s">
        <v>159</v>
      </c>
      <c r="B14" s="18" t="s">
        <v>182</v>
      </c>
      <c r="C14" s="27" t="s">
        <v>183</v>
      </c>
      <c r="D14" s="31" t="s">
        <v>241</v>
      </c>
      <c r="E14" s="29" t="s">
        <v>242</v>
      </c>
      <c r="F14" s="34" t="s">
        <v>285</v>
      </c>
      <c r="G14" s="32" t="s">
        <v>281</v>
      </c>
      <c r="H14" s="17" t="s">
        <v>286</v>
      </c>
    </row>
    <row r="15" spans="1:8" ht="54.75" customHeight="1" x14ac:dyDescent="0.25">
      <c r="A15" s="18" t="s">
        <v>159</v>
      </c>
      <c r="B15" s="18" t="s">
        <v>184</v>
      </c>
      <c r="C15" s="27" t="s">
        <v>185</v>
      </c>
      <c r="D15" s="31" t="s">
        <v>241</v>
      </c>
      <c r="E15" s="29" t="s">
        <v>242</v>
      </c>
      <c r="F15" s="34" t="s">
        <v>285</v>
      </c>
      <c r="G15" s="32" t="s">
        <v>281</v>
      </c>
      <c r="H15" s="17" t="s">
        <v>287</v>
      </c>
    </row>
    <row r="16" spans="1:8" ht="54.75" customHeight="1" x14ac:dyDescent="0.25">
      <c r="A16" s="18" t="s">
        <v>159</v>
      </c>
      <c r="B16" s="18" t="s">
        <v>186</v>
      </c>
      <c r="C16" s="27" t="s">
        <v>187</v>
      </c>
      <c r="D16" s="31" t="s">
        <v>241</v>
      </c>
      <c r="E16" s="29" t="s">
        <v>242</v>
      </c>
      <c r="F16" s="34" t="s">
        <v>285</v>
      </c>
      <c r="G16" s="33" t="s">
        <v>288</v>
      </c>
      <c r="H16" s="17" t="s">
        <v>289</v>
      </c>
    </row>
    <row r="17" spans="1:8" ht="54.75" customHeight="1" x14ac:dyDescent="0.25">
      <c r="A17" s="18" t="s">
        <v>159</v>
      </c>
      <c r="B17" s="18" t="s">
        <v>166</v>
      </c>
      <c r="C17" s="27" t="s">
        <v>167</v>
      </c>
      <c r="D17" s="32" t="s">
        <v>250</v>
      </c>
      <c r="E17" s="29" t="s">
        <v>242</v>
      </c>
      <c r="F17" s="34" t="s">
        <v>280</v>
      </c>
      <c r="G17" s="33" t="s">
        <v>288</v>
      </c>
      <c r="H17" s="17" t="s">
        <v>290</v>
      </c>
    </row>
    <row r="18" spans="1:8" ht="54.75" customHeight="1" x14ac:dyDescent="0.25">
      <c r="A18" s="29" t="s">
        <v>188</v>
      </c>
      <c r="B18" s="29" t="s">
        <v>193</v>
      </c>
      <c r="C18" s="27" t="s">
        <v>291</v>
      </c>
      <c r="D18" s="31" t="s">
        <v>241</v>
      </c>
      <c r="E18" s="29" t="s">
        <v>242</v>
      </c>
      <c r="F18" s="34" t="s">
        <v>285</v>
      </c>
      <c r="G18" s="32" t="s">
        <v>281</v>
      </c>
      <c r="H18" s="17" t="s">
        <v>292</v>
      </c>
    </row>
    <row r="19" spans="1:8" ht="54.75" customHeight="1" x14ac:dyDescent="0.25">
      <c r="A19" s="29" t="s">
        <v>188</v>
      </c>
      <c r="B19" s="29" t="s">
        <v>195</v>
      </c>
      <c r="C19" s="27" t="s">
        <v>293</v>
      </c>
      <c r="D19" s="31" t="s">
        <v>241</v>
      </c>
      <c r="E19" s="29" t="s">
        <v>242</v>
      </c>
      <c r="F19" s="34" t="s">
        <v>285</v>
      </c>
      <c r="G19" s="32" t="s">
        <v>281</v>
      </c>
      <c r="H19" s="17" t="s">
        <v>294</v>
      </c>
    </row>
    <row r="20" spans="1:8" ht="54.75" customHeight="1" x14ac:dyDescent="0.25">
      <c r="A20" s="26" t="s">
        <v>211</v>
      </c>
      <c r="B20" s="26" t="s">
        <v>212</v>
      </c>
      <c r="C20" s="27" t="s">
        <v>295</v>
      </c>
      <c r="D20" s="31" t="s">
        <v>241</v>
      </c>
      <c r="E20" s="29" t="s">
        <v>242</v>
      </c>
      <c r="F20" s="34" t="s">
        <v>285</v>
      </c>
      <c r="G20" s="32" t="s">
        <v>281</v>
      </c>
      <c r="H20" s="17" t="s">
        <v>296</v>
      </c>
    </row>
    <row r="21" spans="1:8" ht="54.75" customHeight="1" x14ac:dyDescent="0.25">
      <c r="A21" s="26" t="s">
        <v>211</v>
      </c>
      <c r="B21" s="26" t="s">
        <v>218</v>
      </c>
      <c r="C21" s="27" t="s">
        <v>219</v>
      </c>
      <c r="D21" s="31" t="s">
        <v>241</v>
      </c>
      <c r="E21" s="29" t="s">
        <v>242</v>
      </c>
      <c r="F21" s="34" t="s">
        <v>285</v>
      </c>
      <c r="G21" s="32" t="s">
        <v>281</v>
      </c>
      <c r="H21" s="17" t="s">
        <v>297</v>
      </c>
    </row>
    <row r="22" spans="1:8" ht="54.75" customHeight="1" x14ac:dyDescent="0.25">
      <c r="A22" s="26" t="s">
        <v>211</v>
      </c>
      <c r="B22" s="26" t="s">
        <v>220</v>
      </c>
      <c r="C22" s="27" t="s">
        <v>298</v>
      </c>
      <c r="D22" s="31" t="s">
        <v>241</v>
      </c>
      <c r="E22" s="29" t="s">
        <v>242</v>
      </c>
      <c r="F22" s="34" t="s">
        <v>285</v>
      </c>
      <c r="G22" s="32" t="s">
        <v>281</v>
      </c>
      <c r="H22" s="17" t="s">
        <v>299</v>
      </c>
    </row>
    <row r="23" spans="1:8" ht="54.75" customHeight="1" x14ac:dyDescent="0.25">
      <c r="A23" s="20" t="s">
        <v>224</v>
      </c>
      <c r="B23" s="20" t="s">
        <v>225</v>
      </c>
      <c r="C23" s="27" t="s">
        <v>300</v>
      </c>
      <c r="D23" s="32" t="s">
        <v>250</v>
      </c>
      <c r="E23" s="29" t="s">
        <v>242</v>
      </c>
      <c r="F23" s="34" t="s">
        <v>280</v>
      </c>
      <c r="G23" s="32" t="s">
        <v>281</v>
      </c>
      <c r="H23" s="17" t="s">
        <v>301</v>
      </c>
    </row>
    <row r="24" spans="1:8" ht="54.75" customHeight="1" x14ac:dyDescent="0.25">
      <c r="A24" s="20" t="s">
        <v>224</v>
      </c>
      <c r="B24" s="20" t="s">
        <v>229</v>
      </c>
      <c r="C24" s="27" t="s">
        <v>302</v>
      </c>
      <c r="D24" s="31" t="s">
        <v>241</v>
      </c>
      <c r="E24" s="29" t="s">
        <v>242</v>
      </c>
      <c r="F24" s="34" t="s">
        <v>285</v>
      </c>
      <c r="G24" s="32" t="s">
        <v>281</v>
      </c>
      <c r="H24" s="17" t="s">
        <v>303</v>
      </c>
    </row>
  </sheetData>
  <mergeCells count="15">
    <mergeCell ref="B8:C8"/>
    <mergeCell ref="D8:H8"/>
    <mergeCell ref="B9:C9"/>
    <mergeCell ref="D9:H9"/>
    <mergeCell ref="B5:C5"/>
    <mergeCell ref="D5:H5"/>
    <mergeCell ref="B6:C6"/>
    <mergeCell ref="D6:H6"/>
    <mergeCell ref="B7:C7"/>
    <mergeCell ref="D7:H7"/>
    <mergeCell ref="A1:H1"/>
    <mergeCell ref="A2:H2"/>
    <mergeCell ref="A3:H3"/>
    <mergeCell ref="B4:C4"/>
    <mergeCell ref="D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Caracterización</vt:lpstr>
      <vt:lpstr>1ra Cascada - Metas Corporativa</vt:lpstr>
      <vt:lpstr>2da Cascada - Metas TI</vt:lpstr>
      <vt:lpstr>3ra Cascada - Procesos COBIT</vt:lpstr>
      <vt:lpstr>Diagnóstico Madurez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</cp:lastModifiedBy>
  <cp:revision>0</cp:revision>
  <dcterms:created xsi:type="dcterms:W3CDTF">2026-05-27T15:08:09Z</dcterms:created>
  <dcterms:modified xsi:type="dcterms:W3CDTF">2026-05-27T16:10:19Z</dcterms:modified>
  <dc:language>en-US</dc:language>
</cp:coreProperties>
</file>